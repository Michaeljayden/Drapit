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inkellijst" sheetId="1" state="visible" r:id="rId3"/>
    <sheet name="Dashboard" sheetId="2" state="visible" r:id="rId4"/>
    <sheet name="Niet Shopify" sheetId="3" state="visible" r:id="rId5"/>
    <sheet name="Onzeker - hercheck" sheetId="4" state="visible" r:id="rId6"/>
    <sheet name="Methode en bronnen" sheetId="5" state="visible" r:id="rId7"/>
  </sheets>
  <definedNames>
    <definedName function="false" hidden="true" localSheetId="0" name="_xlnm._FilterDatabase" vbProcedure="false">Winkellijst!$A$1:$Q$54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<sst xmlns="http://schemas.openxmlformats.org/spreadsheetml/2006/main" count="949" uniqueCount="612">
  <si>
    <t xml:space="preserve">#</t>
  </si>
  <si>
    <t xml:space="preserve">Week</t>
  </si>
  <si>
    <t xml:space="preserve">Winkel</t>
  </si>
  <si>
    <t xml:space="preserve">Domein</t>
  </si>
  <si>
    <t xml:space="preserve">Segment</t>
  </si>
  <si>
    <t xml:space="preserve">Niche</t>
  </si>
  <si>
    <t xml:space="preserve">Formaat</t>
  </si>
  <si>
    <t xml:space="preserve">Drapit-score</t>
  </si>
  <si>
    <t xml:space="preserve">Instagram</t>
  </si>
  <si>
    <t xml:space="preserve">Oprichter / eigenaar</t>
  </si>
  <si>
    <t xml:space="preserve">Publiek e-mailadres</t>
  </si>
  <si>
    <t xml:space="preserve">Personalisatie-haakje</t>
  </si>
  <si>
    <t xml:space="preserve">Shopify geverifieerd via</t>
  </si>
  <si>
    <t xml:space="preserve">Status</t>
  </si>
  <si>
    <t xml:space="preserve">Datum benaderd</t>
  </si>
  <si>
    <t xml:space="preserve">Reactie</t>
  </si>
  <si>
    <t xml:space="preserve">Notities</t>
  </si>
  <si>
    <t xml:space="preserve">Week 1</t>
  </si>
  <si>
    <t xml:space="preserve">SuperBra</t>
  </si>
  <si>
    <t xml:space="preserve">https://www.superbra.nl</t>
  </si>
  <si>
    <t xml:space="preserve">Lingerie</t>
  </si>
  <si>
    <t xml:space="preserve">Lingerie en badmode, cup A t/m Q</t>
  </si>
  <si>
    <t xml:space="preserve">middelgroot</t>
  </si>
  <si>
    <t xml:space="preserve">A</t>
  </si>
  <si>
    <t xml:space="preserve">@superbrastore</t>
  </si>
  <si>
    <t xml:space="preserve">Floor van de Pavert</t>
  </si>
  <si>
    <t xml:space="preserve">info@superbra.nl</t>
  </si>
  <si>
    <t xml:space="preserve">Voert 130+ maten in cup A t/m Q en biedt gratis brafitting op afspraak in Amsterdam, Rotterdam en Utrecht, plus een online 'Vind je Fit'-tool</t>
  </si>
  <si>
    <t xml:space="preserve">products.json -&gt; JSON products-array ('Smooth Niet-Voorgevormde T-Shirt BH Zwart')</t>
  </si>
  <si>
    <t xml:space="preserve">Nog niet benaderd</t>
  </si>
  <si>
    <t xml:space="preserve">Via di Gioia</t>
  </si>
  <si>
    <t xml:space="preserve">https://viadigioia.com</t>
  </si>
  <si>
    <t xml:space="preserve">Badmode</t>
  </si>
  <si>
    <t xml:space="preserve">Badmode in cupmaten A t/m I</t>
  </si>
  <si>
    <t xml:space="preserve">indie/klein</t>
  </si>
  <si>
    <t xml:space="preserve">@viadigioia_swimwear</t>
  </si>
  <si>
    <t xml:space="preserve">Charlotte van Oorschot</t>
  </si>
  <si>
    <t xml:space="preserve">info@viadigioia.com</t>
  </si>
  <si>
    <t xml:space="preserve">Elk design komt in 3 topstijlen (balconette/plunge/triangle) en 4 broekjesstijlen met verstelbare bandmaten - extreem veel maatcombinaties</t>
  </si>
  <si>
    <t xml:space="preserve">products.json -&gt; JSON products-array ('The Balconette - Drop II')</t>
  </si>
  <si>
    <t xml:space="preserve">Yoek</t>
  </si>
  <si>
    <t xml:space="preserve">https://yoek.nl</t>
  </si>
  <si>
    <t xml:space="preserve">Plus-size</t>
  </si>
  <si>
    <t xml:space="preserve">Plus-size damesmode, eigen label</t>
  </si>
  <si>
    <t xml:space="preserve">@yoekfashion</t>
  </si>
  <si>
    <t xml:space="preserve">Michiel van Kempen (eigenaar sinds 2023, niet oprichter)</t>
  </si>
  <si>
    <t xml:space="preserve">fashionadvisor@yoek.nl</t>
  </si>
  <si>
    <t xml:space="preserve">Heeft een aparte pasvormpagina (/pages/fits) plus maattabel en een Personal Shopping-dienst voor maatadvies; hun e-mailadres heet letterlijk fashionadvisor@. Maat 38 t/m 58. Recent van Magento naar Shopify gemigreerd</t>
  </si>
  <si>
    <t xml:space="preserve">products.json -&gt; JSON products-array ('Top UNI DOLCE')</t>
  </si>
  <si>
    <t xml:space="preserve">Cyell</t>
  </si>
  <si>
    <t xml:space="preserve">https://www.cyell.com</t>
  </si>
  <si>
    <t xml:space="preserve">Badmode, cup A t/m G, 30 jaar</t>
  </si>
  <si>
    <t xml:space="preserve">@cyellthenetherlands</t>
  </si>
  <si>
    <t xml:space="preserve">onbekend</t>
  </si>
  <si>
    <t xml:space="preserve">cyellshop@cyell.com</t>
  </si>
  <si>
    <t xml:space="preserve">Heeft drie aparte Fit Guides (bikinitop, bikinibroekje, badpak) en adverteert met 'perfecte pasvorm' over cup A-G</t>
  </si>
  <si>
    <t xml:space="preserve">products.json -&gt; JSON products-array ('GROOVY GRAPHIC BIKINIBROEKJE')</t>
  </si>
  <si>
    <t xml:space="preserve">Exxcellent</t>
  </si>
  <si>
    <t xml:space="preserve">https://exxcellent.nl</t>
  </si>
  <si>
    <t xml:space="preserve">Nederlands plus-size eigen modemerk</t>
  </si>
  <si>
    <t xml:space="preserve">indie/middelgroot</t>
  </si>
  <si>
    <t xml:space="preserve">@exxcellentfashion</t>
  </si>
  <si>
    <t xml:space="preserve">info@exxcellent.nl</t>
  </si>
  <si>
    <t xml:space="preserve">Eigen maatadvies-pagina (/pages/maatadvies) plus de claim 'Niet tevreden? Zorgeloos retourneren'; slogan 'Curves zijn er om te tonen'</t>
  </si>
  <si>
    <t xml:space="preserve">products.json -&gt; JSON products-array ('Giana jurk | Sand/Khaki')</t>
  </si>
  <si>
    <t xml:space="preserve">Savara Intimates</t>
  </si>
  <si>
    <t xml:space="preserve">https://savaraintimates.com</t>
  </si>
  <si>
    <t xml:space="preserve">Duurzame beugelloze lingerie, voedingsbh's</t>
  </si>
  <si>
    <t xml:space="preserve">@savara.intimates</t>
  </si>
  <si>
    <t xml:space="preserve">Eva van Schijndel is oprichter; Michelle Jamoneau eigenaar sinds maart 2023</t>
  </si>
  <si>
    <t xml:space="preserve">info@savaraintimates.com</t>
  </si>
  <si>
    <t xml:space="preserve">Heeft twee losse maattabellen (algemeen en een aparte voor voedingsbh's) en claimt natuurlijke steun ook voor grotere cupmaten zonder beugel. LET OP: hun site noemt Michelle 'oprichter', maar dat is Eva van Schijndel - niet op oprichterschap personaliseren</t>
  </si>
  <si>
    <t xml:space="preserve">products.json -&gt; JSON products-array ('Voedingsbh Linden - Blauw')</t>
  </si>
  <si>
    <t xml:space="preserve">Pavo Couture</t>
  </si>
  <si>
    <t xml:space="preserve">https://www.pavocouture.nl</t>
  </si>
  <si>
    <t xml:space="preserve">Luxe beugelloze lingerie uit Amsterdam</t>
  </si>
  <si>
    <t xml:space="preserve">@pavocoutureamsterdam</t>
  </si>
  <si>
    <t xml:space="preserve">Elise van Twillert</t>
  </si>
  <si>
    <t xml:space="preserve">webshop@pavocouture.nl</t>
  </si>
  <si>
    <t xml:space="preserve">Adverteert met 30 dagen gratis retour via Returnista en gratis ruilen - ruilverkeer is dus een directe kostenpost</t>
  </si>
  <si>
    <t xml:space="preserve">products.json -&gt; JSON products-array ('Tote Bag Pavo Quote')</t>
  </si>
  <si>
    <t xml:space="preserve">WALLIEN</t>
  </si>
  <si>
    <t xml:space="preserve">https://wallien.com</t>
  </si>
  <si>
    <t xml:space="preserve">Wetsuits en badmode voor vrouwen</t>
  </si>
  <si>
    <t xml:space="preserve">@wallien.official</t>
  </si>
  <si>
    <t xml:space="preserve">Madeleine Wallien</t>
  </si>
  <si>
    <t xml:space="preserve">hello@wallien.com</t>
  </si>
  <si>
    <t xml:space="preserve">Claimt dat alles 'cut specifically for the female form' is met extra schoudermobiliteit, en biedt gratis 30-dagen retour - retourkosten volledig voor eigen rekening</t>
  </si>
  <si>
    <t xml:space="preserve">products.json -&gt; JSON products-array ('Nikki van Dijk Springsuit Wetsuit')</t>
  </si>
  <si>
    <t xml:space="preserve">Billie Swim</t>
  </si>
  <si>
    <t xml:space="preserve">https://billieswim.com</t>
  </si>
  <si>
    <t xml:space="preserve">Duurzame badmode, slow fashion</t>
  </si>
  <si>
    <t xml:space="preserve">@billieswim</t>
  </si>
  <si>
    <t xml:space="preserve">Marjolein Schoot Uiterkamp</t>
  </si>
  <si>
    <t xml:space="preserve">hello@billieswim.com</t>
  </si>
  <si>
    <t xml:space="preserve">Positioneert zich expliciet op 'inclusive, form-fitting designs that celebrate every body' met eigen size guide</t>
  </si>
  <si>
    <t xml:space="preserve">products.json -&gt; JSON products-array ('Ikaria Crinkle One Piece')</t>
  </si>
  <si>
    <t xml:space="preserve">AYA Label</t>
  </si>
  <si>
    <t xml:space="preserve">https://ayalabel.com</t>
  </si>
  <si>
    <t xml:space="preserve">Badmode ECONYL, collecties naar godinnen</t>
  </si>
  <si>
    <t xml:space="preserve">@aya.label</t>
  </si>
  <si>
    <t xml:space="preserve">info@ayalabel.com</t>
  </si>
  <si>
    <t xml:space="preserve">Opgericht 2018, adverteert met 'meer dan 60.000 goddesses' en 14 collecties genoemd naar Griekse godinnen; kantoor Valschermkade 29 Amsterdam</t>
  </si>
  <si>
    <t xml:space="preserve">products.json -&gt; JSON products-array ('The Erato Top | Groove')</t>
  </si>
  <si>
    <t xml:space="preserve">Week 2</t>
  </si>
  <si>
    <t xml:space="preserve">Augustine Amsterdam</t>
  </si>
  <si>
    <t xml:space="preserve">https://augustineamsterdam.com</t>
  </si>
  <si>
    <t xml:space="preserve">Duurzame badmode van ECONYL</t>
  </si>
  <si>
    <t xml:space="preserve">@augustine_amsterdam</t>
  </si>
  <si>
    <t xml:space="preserve">info@augustineamsterdam.com</t>
  </si>
  <si>
    <t xml:space="preserve">Bikinitops en -broekjes worden los verkocht als mix &amp; match - de klant moet twee maten los goed raden</t>
  </si>
  <si>
    <t xml:space="preserve">products.json -&gt; JSON products-array ('Halter Bathing Suit')</t>
  </si>
  <si>
    <t xml:space="preserve">Gutsy Fashion</t>
  </si>
  <si>
    <t xml:space="preserve">https://www.gutsy.fashion</t>
  </si>
  <si>
    <t xml:space="preserve">Duurzaam</t>
  </si>
  <si>
    <t xml:space="preserve">Made-to-order damesmode, eigen atelier</t>
  </si>
  <si>
    <t xml:space="preserve">@gutsy.fashion</t>
  </si>
  <si>
    <t xml:space="preserve">Lisanne (achternaam onbekend)</t>
  </si>
  <si>
    <t xml:space="preserve">lisanne@gutsyfashion.nl</t>
  </si>
  <si>
    <t xml:space="preserve">Zegt letterlijk 'Made-to-order = geen overschotten', 100% eigen atelier Amersfoort, maten XXS t/m 6XL, klant kiest halslijn en mouwlengte</t>
  </si>
  <si>
    <t xml:space="preserve">products.json -&gt; products-array ('Straight pants Tess | Bordeaux') + Shopify-checkout-token</t>
  </si>
  <si>
    <t xml:space="preserve">Dresses Boutique</t>
  </si>
  <si>
    <t xml:space="preserve">https://www.dressesboutique.nl</t>
  </si>
  <si>
    <t xml:space="preserve">Gelegenheid</t>
  </si>
  <si>
    <t xml:space="preserve">Gala-, avond- en gelegenheidsjurken 32-50</t>
  </si>
  <si>
    <t xml:space="preserve">@dressesbtq</t>
  </si>
  <si>
    <t xml:space="preserve">'Roman' genoemd als eigenaar, volledige naam onbekend</t>
  </si>
  <si>
    <t xml:space="preserve">onbekend (tel. 046-2040417)</t>
  </si>
  <si>
    <t xml:space="preserve">Heeft een eigen coupeuse in huis en laat klanten een 'gala-afspraak' of 'moeder van de bruid'-afspraak inplannen - maatwerk is hun kernbelofte</t>
  </si>
  <si>
    <t xml:space="preserve">products.json -&gt; products-array ('Derena jumpsuit', 'Off Shoulder Column Gown')</t>
  </si>
  <si>
    <t xml:space="preserve">Dutch Fashion Design</t>
  </si>
  <si>
    <t xml:space="preserve">https://www.dutchfashiondesign.nl</t>
  </si>
  <si>
    <t xml:space="preserve">Damesmode</t>
  </si>
  <si>
    <t xml:space="preserve">Eigen labels, damesmode maat XS-3XL</t>
  </si>
  <si>
    <t xml:space="preserve">@Dutchfashiondesign</t>
  </si>
  <si>
    <t xml:space="preserve">info@dutchfashiondesign.nl</t>
  </si>
  <si>
    <t xml:space="preserve">Voert maat XS t/m 3XL over drie eigen labels (NED, TQ Amsterdam, ICNK Amsterdam) - brede maatrange dus veel maatvragen; actief sinds 2010</t>
  </si>
  <si>
    <t xml:space="preserve">products.json -&gt; JSON products-array ('Pantalon Timmy Shiny Satin')</t>
  </si>
  <si>
    <t xml:space="preserve">MUD Jeans</t>
  </si>
  <si>
    <t xml:space="preserve">https://mudjeans.com</t>
  </si>
  <si>
    <t xml:space="preserve">Circulaire denim, resale en repair</t>
  </si>
  <si>
    <t xml:space="preserve">@mudjeans</t>
  </si>
  <si>
    <t xml:space="preserve">'Bert' genoemd op About-pagina, achternaam onbekend</t>
  </si>
  <si>
    <t xml:space="preserve">info@mudjeans.eu</t>
  </si>
  <si>
    <t xml:space="preserve">Take-back: klant stuurt oude jeans terug voor 10 euro korting op een nieuwe. LET OP: lease-a-jeans is gestopt, geen nieuwe abonnementen meer - noem dat niet. Nu resale via MUD ReLoved plus repair</t>
  </si>
  <si>
    <t xml:space="preserve">products.json -&gt; products-array ('Sara High Loose Flow - Natural')</t>
  </si>
  <si>
    <t xml:space="preserve">King Louie</t>
  </si>
  <si>
    <t xml:space="preserve">https://www.kinglouie.nl</t>
  </si>
  <si>
    <t xml:space="preserve">Retro damesmode, eigen prints, Fair Wear</t>
  </si>
  <si>
    <t xml:space="preserve">@kinglouiefashion</t>
  </si>
  <si>
    <t xml:space="preserve">Ann Berlips en George Cramer</t>
  </si>
  <si>
    <t xml:space="preserve">info@kinglouie.com</t>
  </si>
  <si>
    <t xml:space="preserve">Missie draait om pasvorm: 'clothing that makes women happy' via goede fit en eigen ontworpen prints; heeft aparte Fit Guide voor broeken</t>
  </si>
  <si>
    <t xml:space="preserve">products.json -&gt; products-array ('Scarf Polka')</t>
  </si>
  <si>
    <t xml:space="preserve">Kings of Indigo</t>
  </si>
  <si>
    <t xml:space="preserve">https://www.kingsofindigo.com</t>
  </si>
  <si>
    <t xml:space="preserve">Amsterdams duurzaam denimmerk</t>
  </si>
  <si>
    <t xml:space="preserve">@kingsofindigo</t>
  </si>
  <si>
    <t xml:space="preserve">Sebastian Proft (CEO sinds overname 2022)</t>
  </si>
  <si>
    <t xml:space="preserve">onbekend (contactformulier)</t>
  </si>
  <si>
    <t xml:space="preserve">Geeft 3 jaar reparatiegarantie wereldwijd en heeft een QR op elk label om het kledingstuk van vezel tot eindproduct te volgen. LET OP: failliet in 2022, sindsdien Duits eigendom - niet aanspreken als Nederlands merk</t>
  </si>
  <si>
    <t xml:space="preserve">products.json -&gt; products-array ('NOAH | DRY SELVAGE')</t>
  </si>
  <si>
    <t xml:space="preserve">Colourful Rebel</t>
  </si>
  <si>
    <t xml:space="preserve">https://www.colourfulrebel.com</t>
  </si>
  <si>
    <t xml:space="preserve">Eigen damescollectie, kleurrijk casual</t>
  </si>
  <si>
    <t xml:space="preserve">@colourfulrebel</t>
  </si>
  <si>
    <t xml:space="preserve">Frank van de Brug en broer Bas (2013)</t>
  </si>
  <si>
    <t xml:space="preserve">info@colourfulrebel.com</t>
  </si>
  <si>
    <t xml:space="preserve">Draait nu de 'Fades of Summer' Fall-2026 drop met meer dan 40 nieuwe stijlen; belooft bestellen voor 23:45 = morgen in huis</t>
  </si>
  <si>
    <t xml:space="preserve">products.json -&gt; JSON products-array ('Fitted Zip Top | Medium grey')</t>
  </si>
  <si>
    <t xml:space="preserve">Fabienne Chapot</t>
  </si>
  <si>
    <t xml:space="preserve">https://www.fabiennechapot.com</t>
  </si>
  <si>
    <t xml:space="preserve">Eigen prints, jurken, kleurrijke damesmode</t>
  </si>
  <si>
    <t xml:space="preserve">@fabiennechapot</t>
  </si>
  <si>
    <t xml:space="preserve">info@fabiennechapot.com</t>
  </si>
  <si>
    <t xml:space="preserve">Alle prints worden met de hand getekend: 'starts with a pen or a brush, never made by computers'; HQ aan een Amsterdamse gracht</t>
  </si>
  <si>
    <t xml:space="preserve">products.json -&gt; JSON products-array ('Elvira Dress | Black')</t>
  </si>
  <si>
    <t xml:space="preserve">Refined Department</t>
  </si>
  <si>
    <t xml:space="preserve">https://www.refineddepartment.com</t>
  </si>
  <si>
    <t xml:space="preserve">Betaalbaar Nederlands damesmodelabel</t>
  </si>
  <si>
    <t xml:space="preserve">@refined.department</t>
  </si>
  <si>
    <t xml:space="preserve">webshop@refineddepartment.com</t>
  </si>
  <si>
    <t xml:space="preserve">Noemt zich letterlijk 'an affordable Dutch fashion label' en 'a chameleon'; 'The Winter Drop' staat nu prominent op de homepage, retour binnen 14 dagen</t>
  </si>
  <si>
    <t xml:space="preserve">products.json -&gt; JSON products-array ('FEATHER LONGSLEEVE')</t>
  </si>
  <si>
    <t xml:space="preserve">Week 3</t>
  </si>
  <si>
    <t xml:space="preserve">Lofty Manner</t>
  </si>
  <si>
    <t xml:space="preserve">https://www.loftymanner.com</t>
  </si>
  <si>
    <t xml:space="preserve">Vrouwelijke, toegankelijke eigen damescollectie</t>
  </si>
  <si>
    <t xml:space="preserve">@loftymanner</t>
  </si>
  <si>
    <t xml:space="preserve">webshop@loftymanner.com</t>
  </si>
  <si>
    <t xml:space="preserve">Werkt met kleine themadrops ('The Back To Office Edit', 'The Blue Edit'); klantenservice geeft zelf aan tot 5 werkdagen nodig te hebben</t>
  </si>
  <si>
    <t xml:space="preserve">products.json -&gt; JSON products-array ('Set - Blazer Inge | Coral')</t>
  </si>
  <si>
    <t xml:space="preserve">Catwalk Junkie</t>
  </si>
  <si>
    <t xml:space="preserve">https://www.catwalkjunkie.com</t>
  </si>
  <si>
    <t xml:space="preserve">Amsterdams womenswear-merk, funky</t>
  </si>
  <si>
    <t xml:space="preserve">@catwalk_junkie</t>
  </si>
  <si>
    <t xml:space="preserve">onbekend (Ben van 't Veld is directeur moederbedrijf USP Fashion)</t>
  </si>
  <si>
    <t xml:space="preserve">catwalkjunkie@uspfashion.com</t>
  </si>
  <si>
    <t xml:space="preserve">Homepage pusht nu 'Nieuwe tussenjassen'; contactpagina belooft antwoord binnen 24 uur en heeft geen telefoonnummer, alleen mail</t>
  </si>
  <si>
    <t xml:space="preserve">products.json -&gt; JSON products-array ('Check cape jacket | Plum')</t>
  </si>
  <si>
    <t xml:space="preserve">Jane Lushka</t>
  </si>
  <si>
    <t xml:space="preserve">https://www.janelushka.com</t>
  </si>
  <si>
    <t xml:space="preserve">Technical jersey damesmode, Amsterdam</t>
  </si>
  <si>
    <t xml:space="preserve">@jane.lushka</t>
  </si>
  <si>
    <t xml:space="preserve">Zussen Iskroff - Jane Iskroff en haar zus</t>
  </si>
  <si>
    <t xml:space="preserve">support@janelushka.com</t>
  </si>
  <si>
    <t xml:space="preserve">Hele merk draait om een signature Technical Jersey (kreukvrij, four-way stretch, wasbaar op 30) en ze bieden free returns, dus retouren kosten hen direct geld</t>
  </si>
  <si>
    <t xml:space="preserve">products.json -&gt; JSON products-array ('Sienna eco leather wide-leg pants')</t>
  </si>
  <si>
    <t xml:space="preserve">Nukus</t>
  </si>
  <si>
    <t xml:space="preserve">https://nukus.nl</t>
  </si>
  <si>
    <t xml:space="preserve">Damesmode, natuurlijke stoffen, tijdloos</t>
  </si>
  <si>
    <t xml:space="preserve">@nukusbynickvervoort</t>
  </si>
  <si>
    <t xml:space="preserve">Nick Vervoort (2017, Rotterdam)</t>
  </si>
  <si>
    <t xml:space="preserve">onbekend (Overschieseweg 101, Rotterdam)</t>
  </si>
  <si>
    <t xml:space="preserve">Brengt acht collecties per jaar uit en groeide in vijf jaar naar 350+ verkooppunten; eigen quote: 'You are only as good as your last collection'</t>
  </si>
  <si>
    <t xml:space="preserve">products.json + homepage 'Powered by Shopify' en cdn/shop/</t>
  </si>
  <si>
    <t xml:space="preserve">Ydence</t>
  </si>
  <si>
    <t xml:space="preserve">https://www.ydence.com</t>
  </si>
  <si>
    <t xml:space="preserve">Vrouwelijke jurken, blouses, co-ords</t>
  </si>
  <si>
    <t xml:space="preserve">@ydence</t>
  </si>
  <si>
    <t xml:space="preserve">'Lara' genoemd op Over ons, achternaam onbekend</t>
  </si>
  <si>
    <t xml:space="preserve">info@ydence.com</t>
  </si>
  <si>
    <t xml:space="preserve">Ontwerpt hele collecties als kleurverhalen met matching sets, 'designed to mix and match effortlessly'; Fall Collection + lookbook live</t>
  </si>
  <si>
    <t xml:space="preserve">products.json -&gt; products-array ('Pants Harlow Tall | Dark brown')</t>
  </si>
  <si>
    <t xml:space="preserve">Another-Label</t>
  </si>
  <si>
    <t xml:space="preserve">https://www.another-label.com</t>
  </si>
  <si>
    <t xml:space="preserve">Amsterdams damesmerk, co-ords</t>
  </si>
  <si>
    <t xml:space="preserve">Hun contactpagina is nooit afgemaakt - er staat nog letterlijk 'Heading for your section' als placeholder; ze verzamelen klantfoto's onder #ANOTHERGIRLS</t>
  </si>
  <si>
    <t xml:space="preserve">products.json -&gt; JSON products-array ('Lorraine denim jacket')</t>
  </si>
  <si>
    <t xml:space="preserve">Aaiko</t>
  </si>
  <si>
    <t xml:space="preserve">https://www.aaiko.com</t>
  </si>
  <si>
    <t xml:space="preserve">Amsterdams damesmerk, prints, tailoring</t>
  </si>
  <si>
    <t xml:space="preserve">@aaikoamsterdam</t>
  </si>
  <si>
    <t xml:space="preserve">Pauline Brakenhoff (2006)</t>
  </si>
  <si>
    <t xml:space="preserve">webshop@aaiko.com</t>
  </si>
  <si>
    <t xml:space="preserve">Merknaam is het verhaal: 'Aaiko' betekent geliefde in het Japans en stoer in het Oudduits; collecties expliciet ontworpen om seizoenoverstijgend te mixen</t>
  </si>
  <si>
    <t xml:space="preserve">products.json -&gt; JSON products-array ('Roseau jacket brown')</t>
  </si>
  <si>
    <t xml:space="preserve">CharlieMary</t>
  </si>
  <si>
    <t xml:space="preserve">https://charliemary.com</t>
  </si>
  <si>
    <t xml:space="preserve">Slow fashion, deadstock en gerecyclede garens</t>
  </si>
  <si>
    <t xml:space="preserve">@charliemary.official</t>
  </si>
  <si>
    <t xml:space="preserve">Charlotte van Waes (sinds juli 2023 alleen; met Marieke Vinck 2009)</t>
  </si>
  <si>
    <t xml:space="preserve">admin@charliemary.com</t>
  </si>
  <si>
    <t xml:space="preserve">Verzendt in een herbruikbare, retourneerbare RePack-zak en heeft een Take-Back-programma - retour en verpakking is expliciet hun thema</t>
  </si>
  <si>
    <t xml:space="preserve">products.json -&gt; products-array ('Coco Singlet Cream Mesh')</t>
  </si>
  <si>
    <t xml:space="preserve">Daily Paper</t>
  </si>
  <si>
    <t xml:space="preserve">https://dailypaperclothing.com</t>
  </si>
  <si>
    <t xml:space="preserve">Streetwear</t>
  </si>
  <si>
    <t xml:space="preserve">Amsterdams streetwear met Afrikaanse invloeden</t>
  </si>
  <si>
    <t xml:space="preserve">@dailypaper</t>
  </si>
  <si>
    <t xml:space="preserve">Jefferson Osei, Abderrahmane Trabsini, Hussein Suleiman</t>
  </si>
  <si>
    <t xml:space="preserve">info@dailypaperclothing.com</t>
  </si>
  <si>
    <t xml:space="preserve">Begon als blog in 2012; winkel sinds okt 2024 Leidsestraat 27 (Bilderdijkstraat is dicht) plus flagship Londen; catalogus vol puffers en outerwear</t>
  </si>
  <si>
    <t xml:space="preserve">products.json -&gt; JSON products-array</t>
  </si>
  <si>
    <t xml:space="preserve">The New Originals</t>
  </si>
  <si>
    <t xml:space="preserve">https://theneworiginals.eu</t>
  </si>
  <si>
    <t xml:space="preserve">Amsterdams streetwear/community-label</t>
  </si>
  <si>
    <t xml:space="preserve">@theneworiginals.eu</t>
  </si>
  <si>
    <t xml:space="preserve">support@theneworiginals.eu</t>
  </si>
  <si>
    <t xml:space="preserve">Winkel op Zeedijk 59a; site nodigt letterlijk uit om 'langs te komen om te chillen' - sterk community-first merk</t>
  </si>
  <si>
    <t xml:space="preserve">Week 4</t>
  </si>
  <si>
    <t xml:space="preserve">OLAF (Olaf Hussein)</t>
  </si>
  <si>
    <t xml:space="preserve">https://olafhussein.com</t>
  </si>
  <si>
    <t xml:space="preserve">Herenmode</t>
  </si>
  <si>
    <t xml:space="preserve">Minimalistische Amsterdamse herenmode</t>
  </si>
  <si>
    <t xml:space="preserve">@olafhussein</t>
  </si>
  <si>
    <t xml:space="preserve">Olaf Hussein</t>
  </si>
  <si>
    <t xml:space="preserve">store@olafhussein.com</t>
  </si>
  <si>
    <t xml:space="preserve">Flagship Bilderdijkstraat 112; merkfilosofie 'continuously inspired by countries, cultures and citizens'</t>
  </si>
  <si>
    <t xml:space="preserve">FLANEUR</t>
  </si>
  <si>
    <t xml:space="preserve">https://flaneur.eu</t>
  </si>
  <si>
    <t xml:space="preserve">Amsterdams premium menswear, muziekgedreven</t>
  </si>
  <si>
    <t xml:space="preserve">@flaneur</t>
  </si>
  <si>
    <t xml:space="preserve">Regi Schalks (genoemd in Lotgenoten Podcast #552)</t>
  </si>
  <si>
    <t xml:space="preserve">info@flaneur.eu</t>
  </si>
  <si>
    <t xml:space="preserve">Boutique Van Baerlestraat 16 plus eigen loyaliteitsprogramma 'FLANEUR+'; capsules Badge/Atelier/Signature/Logo</t>
  </si>
  <si>
    <t xml:space="preserve">Lack of Guidance</t>
  </si>
  <si>
    <t xml:space="preserve">https://lackofguidance.com</t>
  </si>
  <si>
    <t xml:space="preserve">Voetbal-geinspireerde Amsterdamse streetwear</t>
  </si>
  <si>
    <t xml:space="preserve">@lackofguidance</t>
  </si>
  <si>
    <t xml:space="preserve">Akaar Amin en Rens van Strien (2016)</t>
  </si>
  <si>
    <t xml:space="preserve">Eerste permanente winkel op Oudekerksplein 22 geopend aug 2021; voetbalnostalgie als hele merkcode</t>
  </si>
  <si>
    <t xml:space="preserve">Bram's Fruit</t>
  </si>
  <si>
    <t xml:space="preserve">https://bramsfruit.com</t>
  </si>
  <si>
    <t xml:space="preserve">Handcrafted Nederlandse herenmode</t>
  </si>
  <si>
    <t xml:space="preserve">@bramsfruit</t>
  </si>
  <si>
    <t xml:space="preserve">Bram Korsten (2021)</t>
  </si>
  <si>
    <t xml:space="preserve">Opende in 2025 zijn eerste fysieke winkel (40 m2, Staalstraat 20 Amsterdam); zegt zelf omzetgroei van meer dan 100% per jaar</t>
  </si>
  <si>
    <t xml:space="preserve">In Gold We Trust</t>
  </si>
  <si>
    <t xml:space="preserve">https://ingoldwetrust-official.com</t>
  </si>
  <si>
    <t xml:space="preserve">Amsterdams tailoring-meets-streetwear</t>
  </si>
  <si>
    <t xml:space="preserve">@ingoldwetrust_official</t>
  </si>
  <si>
    <t xml:space="preserve">Eric Franzel</t>
  </si>
  <si>
    <t xml:space="preserve">klantenservice@ingoldwetrust-official.com</t>
  </si>
  <si>
    <t xml:space="preserve">Opgericht 2012 vanuit Franzel Amsterdam op 'timeless tailoring and freedom'; winkel Kinkerstraat 120A</t>
  </si>
  <si>
    <t xml:space="preserve">Zusss</t>
  </si>
  <si>
    <t xml:space="preserve">https://www.zusss.nl</t>
  </si>
  <si>
    <t xml:space="preserve">Damesmode plus woonaccessoires, tijdloos</t>
  </si>
  <si>
    <t xml:space="preserve">B</t>
  </si>
  <si>
    <t xml:space="preserve">@zusss.nl</t>
  </si>
  <si>
    <t xml:space="preserve">Zussen Sietske van Hartingsveldt en Femke van der Hoef (2008)</t>
  </si>
  <si>
    <t xml:space="preserve">info@zusss.nl</t>
  </si>
  <si>
    <t xml:space="preserve">Merk van twee zussen met 450+ verkooppunten in NL/BE/DE; nu nieuwe najaarscollectie plus 20% extra kassakorting op sale</t>
  </si>
  <si>
    <t xml:space="preserve">products.json -&gt; JSON products-array ('visgraat denim broek met stretch')</t>
  </si>
  <si>
    <t xml:space="preserve">Bylotte</t>
  </si>
  <si>
    <t xml:space="preserve">https://bylotte.nl</t>
  </si>
  <si>
    <t xml:space="preserve">Exclusieve multibrand damesboutique, Eindhoven</t>
  </si>
  <si>
    <t xml:space="preserve">@bylotte</t>
  </si>
  <si>
    <t xml:space="preserve">Lotte Drijvers</t>
  </si>
  <si>
    <t xml:space="preserve">info@bylotte.nl</t>
  </si>
  <si>
    <t xml:space="preserve">Boutique aan de Kleine Berg in Eindhoven met eigen lijn 'BYLOTTE Studios' naast Ganni, Max Mara en Golden Goose; gratis verzending vanaf 150 euro</t>
  </si>
  <si>
    <t xml:space="preserve">products.json -&gt; JSON products-array ('Indress - Top - Dursley')</t>
  </si>
  <si>
    <t xml:space="preserve">Sophie Stone</t>
  </si>
  <si>
    <t xml:space="preserve">https://www.sophiestone.nl</t>
  </si>
  <si>
    <t xml:space="preserve">Curated duurzame damesmode, 35+ merken</t>
  </si>
  <si>
    <t xml:space="preserve">@sophiestonefashion</t>
  </si>
  <si>
    <t xml:space="preserve">Anna Sophie Slingerland (2015/2016); Esther Steen sinds 2020</t>
  </si>
  <si>
    <t xml:space="preserve">vraag@sophiestone.nl</t>
  </si>
  <si>
    <t xml:space="preserve">Team schrijft dat ze alle items zelf hebben gepast en klanten actief adviseren over maten - soms raden ze een aankoop af; winkel Steenweg 11 Utrecht</t>
  </si>
  <si>
    <t xml:space="preserve">products.json -&gt; JSON products-array ('Laminiaa top washed berry')</t>
  </si>
  <si>
    <t xml:space="preserve">Bij Keesje</t>
  </si>
  <si>
    <t xml:space="preserve">https://bij-keesje.nl</t>
  </si>
  <si>
    <t xml:space="preserve">Damesboutique Barendrecht met eigen label</t>
  </si>
  <si>
    <t xml:space="preserve">@bijkeesje</t>
  </si>
  <si>
    <t xml:space="preserve">klantenservice@bij-keesje.nl</t>
  </si>
  <si>
    <t xml:space="preserve">Heeft een eigen lijn 'Bij Keesje The Label' naast Neo Noir en MSCH Copenhagen, plus spaarprogramma; voor 16:00 besteld = dezelfde dag verzonden</t>
  </si>
  <si>
    <t xml:space="preserve">products.json -&gt; products-array ('AnnieRC Dress Bordeaux Rosso')</t>
  </si>
  <si>
    <t xml:space="preserve">Modezza</t>
  </si>
  <si>
    <t xml:space="preserve">https://modezza.nl</t>
  </si>
  <si>
    <t xml:space="preserve">Grote maten boutique, maat 42-54</t>
  </si>
  <si>
    <t xml:space="preserve">@modezza</t>
  </si>
  <si>
    <t xml:space="preserve">info@modezza.nl</t>
  </si>
  <si>
    <t xml:space="preserve">Multi-brand grote maten 42-54 met fysieke winkel in Veldhoven - online kopers missen juist die paskamer</t>
  </si>
  <si>
    <t xml:space="preserve">products.json -&gt; JSON products-array ('Vero Moda Curve blouse')</t>
  </si>
  <si>
    <t xml:space="preserve">Week 5</t>
  </si>
  <si>
    <t xml:space="preserve">TET. Responsiblewear</t>
  </si>
  <si>
    <t xml:space="preserve">https://tetresponsiblewear.com</t>
  </si>
  <si>
    <t xml:space="preserve">Omkeerbare duurzame badmode, B-Corp</t>
  </si>
  <si>
    <t xml:space="preserve">@tet.responsiblewear</t>
  </si>
  <si>
    <t xml:space="preserve">info@tetresponsiblewear.com</t>
  </si>
  <si>
    <t xml:space="preserve">Verkoopt reversible bikini's en badpakken (twee looks in een stuk) - beide kanten visualiseren is lastig op foto</t>
  </si>
  <si>
    <t xml:space="preserve">products.json -&gt; products-array ('Delmare Swimsuit Reversible')</t>
  </si>
  <si>
    <t xml:space="preserve">The Knitwit Stable</t>
  </si>
  <si>
    <t xml:space="preserve">https://theknitwitstable.nl</t>
  </si>
  <si>
    <t xml:space="preserve">Breigoed van eigen Nederlandse schapenwol</t>
  </si>
  <si>
    <t xml:space="preserve">@the.knitwit.stable</t>
  </si>
  <si>
    <t xml:space="preserve">Reina (achternaam onbekend), ex-inkoper</t>
  </si>
  <si>
    <t xml:space="preserve">info@theknitwitstable.nl</t>
  </si>
  <si>
    <t xml:space="preserve">Eigen boerderij en productiefaciliteit in Baambrugge; wil Nederlandse wol van afvalproduct naar circulaire grondstof brengen</t>
  </si>
  <si>
    <t xml:space="preserve">products.json -&gt; products-array ('Wind', 'Ijssel', 'Mist')</t>
  </si>
  <si>
    <t xml:space="preserve">ZAZI Vintage</t>
  </si>
  <si>
    <t xml:space="preserve">https://theworldofzazi.com</t>
  </si>
  <si>
    <t xml:space="preserve">Ambachtelijke slow fashion, wereldwijde technieken</t>
  </si>
  <si>
    <t xml:space="preserve">@theworldofzazi</t>
  </si>
  <si>
    <t xml:space="preserve">Jeanne de Kroon</t>
  </si>
  <si>
    <t xml:space="preserve">onbekend (WhatsApp)</t>
  </si>
  <si>
    <t xml:space="preserve">Werkt met 1100+ ambachtslieden en zegt expliciet niet in trends en seizoensdrops te werken; veel items als LIMITED EDITION of 'One size' gelabeld</t>
  </si>
  <si>
    <t xml:space="preserve">products.json op beide domeinen -&gt; products-array</t>
  </si>
  <si>
    <t xml:space="preserve">All Things Mochi</t>
  </si>
  <si>
    <t xml:space="preserve">https://allthingsmochi.com</t>
  </si>
  <si>
    <t xml:space="preserve">Handgeborduurde kleding, ambachtelijke gemeenschappen</t>
  </si>
  <si>
    <t xml:space="preserve">@allthingsmochi</t>
  </si>
  <si>
    <t xml:space="preserve">Ayah Tabari</t>
  </si>
  <si>
    <t xml:space="preserve">Elke collectie handgeborduurd door lokale ambachtslieden met traditionele technieken; merk opgericht om borduurgemeenschappen werk te geven</t>
  </si>
  <si>
    <t xml:space="preserve">products.json -&gt; products-array ('Peony Reversible Jacket Yellow')</t>
  </si>
  <si>
    <t xml:space="preserve">Noumenon Amsterdam</t>
  </si>
  <si>
    <t xml:space="preserve">https://nou-menon.com</t>
  </si>
  <si>
    <t xml:space="preserve">Vegan modeboutique plus eigen label</t>
  </si>
  <si>
    <t xml:space="preserve">@noumenon_amsterdam</t>
  </si>
  <si>
    <t xml:space="preserve">info@nou-menon.com</t>
  </si>
  <si>
    <t xml:space="preserve">Winkel aan Kerkstraat 248 Amsterdam is uitsluitend op afspraak te bezoeken - alle passen gebeurt dus feitelijk online</t>
  </si>
  <si>
    <t xml:space="preserve">products.json + cdn.shopify.com en checkout-token</t>
  </si>
  <si>
    <t xml:space="preserve">Natur-el</t>
  </si>
  <si>
    <t xml:space="preserve">https://www.natur-el.nl</t>
  </si>
  <si>
    <t xml:space="preserve">Duurzame damesmode, natuurlijke materialen</t>
  </si>
  <si>
    <t xml:space="preserve">@natur_el.nl</t>
  </si>
  <si>
    <t xml:space="preserve">Vera (achternaam onbekend), ex-docent vrijeschool</t>
  </si>
  <si>
    <t xml:space="preserve">klantenservice@natur-el.nl</t>
  </si>
  <si>
    <t xml:space="preserve">Zegt op Over ons: 'We denken met je mee over maten, pasvormen en materialen' en raadt soms een aankoop af als het niet past</t>
  </si>
  <si>
    <t xml:space="preserve">products.json -&gt; products-array (THINKING MU-items)</t>
  </si>
  <si>
    <t xml:space="preserve">Wild at Heart Bridal</t>
  </si>
  <si>
    <t xml:space="preserve">https://wildatheartbridal.nl</t>
  </si>
  <si>
    <t xml:space="preserve">Moderne designer-trouwjurken boutique Nijmegen</t>
  </si>
  <si>
    <t xml:space="preserve">@wildatheartbridal</t>
  </si>
  <si>
    <t xml:space="preserve">Annika Noordzij</t>
  </si>
  <si>
    <t xml:space="preserve">Cureert 15 exclusieve internationale bruidsontwerpers voor moderne bruiden; afspraken van 90 minuten in een historische villa</t>
  </si>
  <si>
    <t xml:space="preserve">products.json -&gt; products-array ('Alexandra Grecco Colette')</t>
  </si>
  <si>
    <t xml:space="preserve">Bleeding Indigo</t>
  </si>
  <si>
    <t xml:space="preserve">https://bleedingindigo.com</t>
  </si>
  <si>
    <t xml:space="preserve">Eindhovens workwear/military-geinspireerd label</t>
  </si>
  <si>
    <t xml:space="preserve">@bleeding.indigo</t>
  </si>
  <si>
    <t xml:space="preserve">Bartel Kreemers (2021)</t>
  </si>
  <si>
    <t xml:space="preserve">onbekend (contactpagina)</t>
  </si>
  <si>
    <t xml:space="preserve">Twee lijnen naast elkaar: pret-a-porter en een atelier-lijn met vintage materialen en klassieke naaitechnieken</t>
  </si>
  <si>
    <t xml:space="preserve">Patta</t>
  </si>
  <si>
    <t xml:space="preserve">https://patta.nl</t>
  </si>
  <si>
    <t xml:space="preserve">Amsterdams streetwear-icoon, veel collabs</t>
  </si>
  <si>
    <t xml:space="preserve">@patta_nl</t>
  </si>
  <si>
    <t xml:space="preserve">Catalogus draait sterk op collabs (bv. Patta x Nike Mercurial); winkel Zeedijk 67</t>
  </si>
  <si>
    <t xml:space="preserve">by Parra</t>
  </si>
  <si>
    <t xml:space="preserve">https://byparra.com</t>
  </si>
  <si>
    <t xml:space="preserve">Kunstenaarsmerk, grafische streetwear</t>
  </si>
  <si>
    <t xml:space="preserve">@byparrastore</t>
  </si>
  <si>
    <t xml:space="preserve">Parra (kunstenaar)</t>
  </si>
  <si>
    <t xml:space="preserve">info@byparra.com</t>
  </si>
  <si>
    <t xml:space="preserve">Elk item draagt zijn eigen illustratiewerk (bv. 'Sad horse t-shirt'); kantoor in 's-Hertogenbosch, niet Amsterdam</t>
  </si>
  <si>
    <t xml:space="preserve">Week 6</t>
  </si>
  <si>
    <t xml:space="preserve">FOUR Amsterdam</t>
  </si>
  <si>
    <t xml:space="preserve">https://fouramsterdam.com</t>
  </si>
  <si>
    <t xml:space="preserve">Streetwear/luxury boutique met eigen lijn</t>
  </si>
  <si>
    <t xml:space="preserve">@fouramsterdam</t>
  </si>
  <si>
    <t xml:space="preserve">onbekend (Zendesk)</t>
  </si>
  <si>
    <t xml:space="preserve">Verkoopt eigen FOUR-collectie (bv. 'Script Shirt Jacket Dark Grey') naast Moncler en Stone Island; positioneert zich als 'rooted in family'</t>
  </si>
  <si>
    <t xml:space="preserve">VELD</t>
  </si>
  <si>
    <t xml:space="preserve">https://veld.com</t>
  </si>
  <si>
    <t xml:space="preserve">Sustainable sportswear en travel essentials</t>
  </si>
  <si>
    <t xml:space="preserve">@veld.amsterdam</t>
  </si>
  <si>
    <t xml:space="preserve">customerservice@veld.com</t>
  </si>
  <si>
    <t xml:space="preserve">100% organic cotton, handgemaakt in Europa; collecties per thema (Ski, Varsity, Tennis, Linen), winkel Utrechtsestraat 27</t>
  </si>
  <si>
    <t xml:space="preserve">Filling Pieces</t>
  </si>
  <si>
    <t xml:space="preserve">https://fillingpieces.com</t>
  </si>
  <si>
    <t xml:space="preserve">Schoenen- en kledingmerk Amsterdam</t>
  </si>
  <si>
    <t xml:space="preserve">C</t>
  </si>
  <si>
    <t xml:space="preserve">Guillaume Philibert</t>
  </si>
  <si>
    <t xml:space="preserve">Catalogus is sterk footwear-gedreven ('Loafer Hazy Off White' bovenaan) - kleding is bijzaak, dus try-on voor kleding voegt weinig toe</t>
  </si>
  <si>
    <t xml:space="preserve">Drapit - NL Shopify kledingwebshops</t>
  </si>
  <si>
    <t xml:space="preserve">Voortgang en samenstelling van de lijst. Alle cijfers rekenen live mee met tabblad Winkellijst.</t>
  </si>
  <si>
    <t xml:space="preserve">VOORTGANG</t>
  </si>
  <si>
    <t xml:space="preserve">Winkels in lijst</t>
  </si>
  <si>
    <t xml:space="preserve">Benaderd (status ingevuld)</t>
  </si>
  <si>
    <t xml:space="preserve">Demo gemaakt</t>
  </si>
  <si>
    <t xml:space="preserve">E-mail verstuurd</t>
  </si>
  <si>
    <t xml:space="preserve">Reactie ontvangen</t>
  </si>
  <si>
    <t xml:space="preserve">Gesprek gepland</t>
  </si>
  <si>
    <t xml:space="preserve">App geinstalleerd</t>
  </si>
  <si>
    <t xml:space="preserve">Betalend</t>
  </si>
  <si>
    <t xml:space="preserve">Responspercentage</t>
  </si>
  <si>
    <t xml:space="preserve">SAMENSTELLING - SCORE</t>
  </si>
  <si>
    <t xml:space="preserve">A-leads (sterk)</t>
  </si>
  <si>
    <t xml:space="preserve">B-leads (redelijk)</t>
  </si>
  <si>
    <t xml:space="preserve">C-leads (zwak)</t>
  </si>
  <si>
    <t xml:space="preserve">SAMENSTELLING - SEGMENT</t>
  </si>
  <si>
    <t xml:space="preserve">DATAKWALITEIT</t>
  </si>
  <si>
    <t xml:space="preserve">Met publiek e-mailadres</t>
  </si>
  <si>
    <t xml:space="preserve">Met naam oprichter/eigenaar</t>
  </si>
  <si>
    <t xml:space="preserve">Met Instagram</t>
  </si>
  <si>
    <t xml:space="preserve">Getest en aantoonbaar GEEN Shopify - niet opnieuw onderzoeken</t>
  </si>
  <si>
    <t xml:space="preserve">Loavies</t>
  </si>
  <si>
    <t xml:space="preserve">loavies.com</t>
  </si>
  <si>
    <t xml:space="preserve">Alix The Label</t>
  </si>
  <si>
    <t xml:space="preserve">alixthelabel.com</t>
  </si>
  <si>
    <t xml:space="preserve">Josh V</t>
  </si>
  <si>
    <t xml:space="preserve">joshv.com</t>
  </si>
  <si>
    <t xml:space="preserve">Dante 6</t>
  </si>
  <si>
    <t xml:space="preserve">dante6.com</t>
  </si>
  <si>
    <t xml:space="preserve">Studio Anneloes</t>
  </si>
  <si>
    <t xml:space="preserve">studioanneloes.nl</t>
  </si>
  <si>
    <t xml:space="preserve">Harper &amp; Yve</t>
  </si>
  <si>
    <t xml:space="preserve">harperandyve.com</t>
  </si>
  <si>
    <t xml:space="preserve">Nikkie</t>
  </si>
  <si>
    <t xml:space="preserve">nikkie.com</t>
  </si>
  <si>
    <t xml:space="preserve">Applied Art Forms</t>
  </si>
  <si>
    <t xml:space="preserve">appliedartforms.com</t>
  </si>
  <si>
    <t xml:space="preserve">Denham the Jeanmaker</t>
  </si>
  <si>
    <t xml:space="preserve">denham.com</t>
  </si>
  <si>
    <t xml:space="preserve">Denim</t>
  </si>
  <si>
    <t xml:space="preserve">Only Diva's Amsterdam</t>
  </si>
  <si>
    <t xml:space="preserve">onlydivasamsterdam.nl</t>
  </si>
  <si>
    <t xml:space="preserve">Bonkini</t>
  </si>
  <si>
    <t xml:space="preserve">bonkini.nl</t>
  </si>
  <si>
    <t xml:space="preserve">Bagoes</t>
  </si>
  <si>
    <t xml:space="preserve">bagoes.nl</t>
  </si>
  <si>
    <t xml:space="preserve">Eigen Wijs Mode</t>
  </si>
  <si>
    <t xml:space="preserve">eigenwijs-mode.nl</t>
  </si>
  <si>
    <t xml:space="preserve">Betty's Boops</t>
  </si>
  <si>
    <t xml:space="preserve">bettysboops.nl</t>
  </si>
  <si>
    <t xml:space="preserve">KANT Amsterdam</t>
  </si>
  <si>
    <t xml:space="preserve">kantamsterdam.com</t>
  </si>
  <si>
    <t xml:space="preserve">MIXXL</t>
  </si>
  <si>
    <t xml:space="preserve">mixxl.nl</t>
  </si>
  <si>
    <t xml:space="preserve">Fashion Musthaves</t>
  </si>
  <si>
    <t xml:space="preserve">fashionmusthaves.nl</t>
  </si>
  <si>
    <t xml:space="preserve">SAS Mode</t>
  </si>
  <si>
    <t xml:space="preserve">sasmode.nl</t>
  </si>
  <si>
    <t xml:space="preserve">Maatje Meer</t>
  </si>
  <si>
    <t xml:space="preserve">maatjemeer.nl</t>
  </si>
  <si>
    <t xml:space="preserve">Evenstars Lingerie</t>
  </si>
  <si>
    <t xml:space="preserve">evenstarslingerie.com</t>
  </si>
  <si>
    <t xml:space="preserve">Nickey Nobel</t>
  </si>
  <si>
    <t xml:space="preserve">nickeynobel.com</t>
  </si>
  <si>
    <t xml:space="preserve">Domein te koop - winkel bestaat niet meer</t>
  </si>
  <si>
    <t xml:space="preserve">Marjolein Elisabeth</t>
  </si>
  <si>
    <t xml:space="preserve">marjoleinelisabeth.nl</t>
  </si>
  <si>
    <t xml:space="preserve">Common and Sense</t>
  </si>
  <si>
    <t xml:space="preserve">commonandsense.nl</t>
  </si>
  <si>
    <t xml:space="preserve">Kuyichi</t>
  </si>
  <si>
    <t xml:space="preserve">kuyichi.com</t>
  </si>
  <si>
    <t xml:space="preserve">Duurzaam denim</t>
  </si>
  <si>
    <t xml:space="preserve">Hul le Kes</t>
  </si>
  <si>
    <t xml:space="preserve">hullekes.com</t>
  </si>
  <si>
    <t xml:space="preserve">Lovely Lane</t>
  </si>
  <si>
    <t xml:space="preserve">lovelylane.nl</t>
  </si>
  <si>
    <t xml:space="preserve">Masha Maria</t>
  </si>
  <si>
    <t xml:space="preserve">masha-maria.com</t>
  </si>
  <si>
    <t xml:space="preserve">House of Useless</t>
  </si>
  <si>
    <t xml:space="preserve">houseofuseless.com</t>
  </si>
  <si>
    <t xml:space="preserve">Guave</t>
  </si>
  <si>
    <t xml:space="preserve">helloguave.com</t>
  </si>
  <si>
    <t xml:space="preserve">Blanc Wear</t>
  </si>
  <si>
    <t xml:space="preserve">blanc-wear.com</t>
  </si>
  <si>
    <t xml:space="preserve">Honneloeloe</t>
  </si>
  <si>
    <t xml:space="preserve">honneloeloe.nl</t>
  </si>
  <si>
    <t xml:space="preserve">De Galazaak</t>
  </si>
  <si>
    <t xml:space="preserve">degalazaak.nl</t>
  </si>
  <si>
    <t xml:space="preserve">Dreamdresses</t>
  </si>
  <si>
    <t xml:space="preserve">dreamdresses.nl</t>
  </si>
  <si>
    <t xml:space="preserve">Robin Uitgaansmode</t>
  </si>
  <si>
    <t xml:space="preserve">galajurk.nl</t>
  </si>
  <si>
    <t xml:space="preserve">Wedding Wonderland</t>
  </si>
  <si>
    <t xml:space="preserve">weddingwonderland.nl</t>
  </si>
  <si>
    <t xml:space="preserve">Bruidsmode</t>
  </si>
  <si>
    <t xml:space="preserve">Chic &amp; Holland</t>
  </si>
  <si>
    <t xml:space="preserve">chicandholland.com</t>
  </si>
  <si>
    <t xml:space="preserve">Something Blue</t>
  </si>
  <si>
    <t xml:space="preserve">somethingbluebruidsmode.nl</t>
  </si>
  <si>
    <t xml:space="preserve">De Bruidshoek</t>
  </si>
  <si>
    <t xml:space="preserve">bruidshoek.nl</t>
  </si>
  <si>
    <t xml:space="preserve">Shopify-status niet vastgesteld - handmatig checken loont</t>
  </si>
  <si>
    <t xml:space="preserve">Open het domein in je browser en kijk in de broncode naar cdn.shopify.com, of probeer /products.json opnieuw.</t>
  </si>
  <si>
    <t xml:space="preserve">Reden dat de test faalde</t>
  </si>
  <si>
    <t xml:space="preserve">Uitkomst hercheck</t>
  </si>
  <si>
    <t xml:space="preserve">Charlie Mary (alt)</t>
  </si>
  <si>
    <t xml:space="preserve">charliemary.com</t>
  </si>
  <si>
    <t xml:space="preserve">SSL-certificaatfout bij test</t>
  </si>
  <si>
    <t xml:space="preserve">Studio JUX</t>
  </si>
  <si>
    <t xml:space="preserve">studiojux.com</t>
  </si>
  <si>
    <t xml:space="preserve">DNS-fout</t>
  </si>
  <si>
    <t xml:space="preserve">Jutka &amp; Riska</t>
  </si>
  <si>
    <t xml:space="preserve">jutkaenriska.nl</t>
  </si>
  <si>
    <t xml:space="preserve">Certificaat hostname mismatch</t>
  </si>
  <si>
    <t xml:space="preserve">Ruby Tuesday</t>
  </si>
  <si>
    <t xml:space="preserve">ruby-tuesday.nl</t>
  </si>
  <si>
    <t xml:space="preserve">Alix The Label (alt)</t>
  </si>
  <si>
    <t xml:space="preserve">alix-thelabel.com</t>
  </si>
  <si>
    <t xml:space="preserve">robots/timeout</t>
  </si>
  <si>
    <t xml:space="preserve">New Amsterdam Surf Association</t>
  </si>
  <si>
    <t xml:space="preserve">newamsterdamsurf.com</t>
  </si>
  <si>
    <t xml:space="preserve">products.json 404, alt domein resolvede niet</t>
  </si>
  <si>
    <t xml:space="preserve">Collect the Label</t>
  </si>
  <si>
    <t xml:space="preserve">collectthelabel.com</t>
  </si>
  <si>
    <t xml:space="preserve">Domein resolvede niet</t>
  </si>
  <si>
    <t xml:space="preserve">Jungl Amsterdam</t>
  </si>
  <si>
    <t xml:space="preserve">junglamsterdam.com</t>
  </si>
  <si>
    <t xml:space="preserve">robots.txt blokkeert</t>
  </si>
  <si>
    <t xml:space="preserve">Boobs &amp; Bloomers</t>
  </si>
  <si>
    <t xml:space="preserve">boobsandbloomers.com</t>
  </si>
  <si>
    <t xml:space="preserve">Domein niet resolvebaar</t>
  </si>
  <si>
    <t xml:space="preserve">Beachlife</t>
  </si>
  <si>
    <t xml:space="preserve">beachlife.nl</t>
  </si>
  <si>
    <t xml:space="preserve">SSL self-signed certificaat</t>
  </si>
  <si>
    <t xml:space="preserve">Curvii</t>
  </si>
  <si>
    <t xml:space="preserve">curvii.nl</t>
  </si>
  <si>
    <t xml:space="preserve">403 op products.json en homepage</t>
  </si>
  <si>
    <t xml:space="preserve">Honeymoon Shop</t>
  </si>
  <si>
    <t xml:space="preserve">honeymoonshop.nl</t>
  </si>
  <si>
    <t xml:space="preserve">Botcheck-muur</t>
  </si>
  <si>
    <t xml:space="preserve">Ciel Flora</t>
  </si>
  <si>
    <t xml:space="preserve">cielflora.nl</t>
  </si>
  <si>
    <t xml:space="preserve">HTTP 500</t>
  </si>
  <si>
    <t xml:space="preserve">Dott</t>
  </si>
  <si>
    <t xml:space="preserve">dottshop.nl</t>
  </si>
  <si>
    <t xml:space="preserve">robots.txt timeout</t>
  </si>
  <si>
    <t xml:space="preserve">Nukuhiva</t>
  </si>
  <si>
    <t xml:space="preserve">nukuhiva.nl</t>
  </si>
  <si>
    <t xml:space="preserve">robots disallow</t>
  </si>
  <si>
    <t xml:space="preserve">Take It Slow</t>
  </si>
  <si>
    <t xml:space="preserve">takeitslowstore.com</t>
  </si>
  <si>
    <t xml:space="preserve">Timeout</t>
  </si>
  <si>
    <t xml:space="preserve">Indi &amp; Me</t>
  </si>
  <si>
    <t xml:space="preserve">indi-me.nl</t>
  </si>
  <si>
    <t xml:space="preserve">Niet vast te stellen</t>
  </si>
  <si>
    <t xml:space="preserve">Atelier Felie</t>
  </si>
  <si>
    <t xml:space="preserve">atelier-felie.com</t>
  </si>
  <si>
    <t xml:space="preserve">DNS/SSL-fout</t>
  </si>
  <si>
    <t xml:space="preserve">Floria Collective</t>
  </si>
  <si>
    <t xml:space="preserve">floria-collective.com</t>
  </si>
  <si>
    <t xml:space="preserve">Hoe deze lijst is opgebouwd</t>
  </si>
  <si>
    <t xml:space="preserve">VERIFICATIEMETHODE</t>
  </si>
  <si>
    <t xml:space="preserve">Shopify-check</t>
  </si>
  <si>
    <t xml:space="preserve">Elk domein is getest met een verzoek op /products.json. Een Shopify-winkel geeft geldige JSON terug met een products-array; de titel van het eerste product staat per winkel in kolom M als bewijs. Waar dat endpoint te groot of afgeschermd was, is de homepage gecontroleerd op cdn.shopify.com, een Shopify-checkout-token of 'Powered by Shopify'.</t>
  </si>
  <si>
    <t xml:space="preserve">Betrouwbaarheid</t>
  </si>
  <si>
    <t xml:space="preserve">Deze methode geeft vrijwel geen vals-positieven. Wel vals-negatieven: winkels achter Cloudflare of een bot-muur lijken geen Shopify terwijl ze dat wel zijn. Die staan op het tabblad 'Onzeker - hercheck'.</t>
  </si>
  <si>
    <t xml:space="preserve">Wat NIET is geverifieerd</t>
  </si>
  <si>
    <t xml:space="preserve">Of een winkel al een virtual try-on of size-tool gebruikt. Check dat op een productpagina voor je mailt - het scherpt je haakje aan en voorkomt dat je iets aanbiedt dat er al staat.</t>
  </si>
  <si>
    <t xml:space="preserve">DEKKING</t>
  </si>
  <si>
    <t xml:space="preserve">Totaal getest</t>
  </si>
  <si>
    <t xml:space="preserve">122 domeinen over vier niches. 53 bevestigd Shopify, 38 aantoonbaar geen Shopify, 19 niet vast te stellen, plus enkele niet-bestaande domeinen.</t>
  </si>
  <si>
    <t xml:space="preserve">Bewust weggelaten</t>
  </si>
  <si>
    <t xml:space="preserve">Grote ketens (Zalando, Wehkamp, H&amp;M, Hunkemoller, Bijenkorf), marktplaatsen, en winkels zonder eigen collectie of modelfotografie.</t>
  </si>
  <si>
    <t xml:space="preserve">Lege velden</t>
  </si>
  <si>
    <t xml:space="preserve">Waar 'onbekend' staat, is de informatie daadwerkelijk niet gevonden. Er is niets ingevuld op basis van aanname.</t>
  </si>
  <si>
    <t xml:space="preserve">TWEE DATA-WAARSCHUWINGEN</t>
  </si>
  <si>
    <t xml:space="preserve">Michiel van Kempen is eigenaar sinds de overname in 2023, niet de oprichter. De oorspronkelijke oprichter trad terug.</t>
  </si>
  <si>
    <t xml:space="preserve">Michelle Jamoneau is de oprichter, maar het merk is in 2023 overgenomen. Check haar huidige rol voor je haar aanschrijft.</t>
  </si>
  <si>
    <t xml:space="preserve">WAT DE MARKT MIST</t>
  </si>
  <si>
    <t xml:space="preserve">Structureel dunne vijver: Bagoes, Only Diva's, Maatje Meer, MIXXL en Happy Size draaien allemaal niet op Shopify.</t>
  </si>
  <si>
    <t xml:space="preserve">De NL bruids- en galamarkt draait vrijwel volledig op afspraak-boetieks met WooCommerce-brochuresites zonder online verkoop. Verder graven levert hier weinig op.</t>
  </si>
  <si>
    <t xml:space="preserve">BUITEN SCOPE, WEL INTERESSANT</t>
  </si>
  <si>
    <t xml:space="preserve">Axent (grote-maten.shop)</t>
  </si>
  <si>
    <t xml:space="preserve">Belgisch, Herent. Shopify bevestigd, grote maten 44-54, levert gratis naar NL vanaf 175 euro. Eigenaar Marianne, @axentherent.be. Meenemen als je Belgie erbij pakt.</t>
  </si>
  <si>
    <t xml:space="preserve">Maha Amsterdam</t>
  </si>
  <si>
    <t xml:space="preserve">Shopify bevestigd, maar pure multibrand boutique zonder eigen collectie - valt buiten je criterium.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</si>
</sst>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6"/>
      <color rgb="FF1F3355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3355"/>
      <name val="Arial"/>
      <family val="0"/>
      <charset val="1"/>
    </font>
    <font>
      <b val="true"/>
      <sz val="14"/>
      <color rgb="FF1F335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355"/>
        <bgColor rgb="FF003366"/>
      </patternFill>
    </fill>
    <fill>
      <patternFill patternType="solid">
        <fgColor rgb="FFD7E8D4"/>
        <bgColor rgb="FFE8EDF5"/>
      </patternFill>
    </fill>
    <fill>
      <patternFill patternType="solid">
        <fgColor rgb="FFFBE8C8"/>
        <bgColor rgb="FFEFEFEF"/>
      </patternFill>
    </fill>
    <fill>
      <patternFill patternType="solid">
        <fgColor rgb="FFEFEFEF"/>
        <bgColor rgb="FFE8EDF5"/>
      </patternFill>
    </fill>
    <fill>
      <patternFill patternType="solid">
        <fgColor rgb="FFE8EDF5"/>
        <bgColor rgb="FFEFEF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35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D7E8D4"/>
          <bgColor rgb="FF000000"/>
        </patternFill>
      </fill>
    </dxf>
    <dxf>
      <fill>
        <patternFill patternType="solid">
          <fgColor rgb="FFEFEFEF"/>
          <bgColor rgb="FF000000"/>
        </patternFill>
      </fill>
    </dxf>
    <dxf>
      <fill>
        <patternFill patternType="solid">
          <fgColor rgb="FFFBE8C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BE8C8"/>
      <rgbColor rgb="FFE8EDF5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D7E8D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3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uperbra.nl/" TargetMode="External"/><Relationship Id="rId2" Type="http://schemas.openxmlformats.org/officeDocument/2006/relationships/hyperlink" Target="https://viadigioia.com/" TargetMode="External"/><Relationship Id="rId3" Type="http://schemas.openxmlformats.org/officeDocument/2006/relationships/hyperlink" Target="https://yoek.nl/" TargetMode="External"/><Relationship Id="rId4" Type="http://schemas.openxmlformats.org/officeDocument/2006/relationships/hyperlink" Target="https://www.cyell.com/" TargetMode="External"/><Relationship Id="rId5" Type="http://schemas.openxmlformats.org/officeDocument/2006/relationships/hyperlink" Target="https://exxcellent.nl/" TargetMode="External"/><Relationship Id="rId6" Type="http://schemas.openxmlformats.org/officeDocument/2006/relationships/hyperlink" Target="https://savaraintimates.com/" TargetMode="External"/><Relationship Id="rId7" Type="http://schemas.openxmlformats.org/officeDocument/2006/relationships/hyperlink" Target="https://www.pavocouture.nl/" TargetMode="External"/><Relationship Id="rId8" Type="http://schemas.openxmlformats.org/officeDocument/2006/relationships/hyperlink" Target="https://wallien.com/" TargetMode="External"/><Relationship Id="rId9" Type="http://schemas.openxmlformats.org/officeDocument/2006/relationships/hyperlink" Target="https://billieswim.com/" TargetMode="External"/><Relationship Id="rId10" Type="http://schemas.openxmlformats.org/officeDocument/2006/relationships/hyperlink" Target="https://ayalabel.com/" TargetMode="External"/><Relationship Id="rId11" Type="http://schemas.openxmlformats.org/officeDocument/2006/relationships/hyperlink" Target="https://augustineamsterdam.com/" TargetMode="External"/><Relationship Id="rId12" Type="http://schemas.openxmlformats.org/officeDocument/2006/relationships/hyperlink" Target="https://www.gutsy.fashion/" TargetMode="External"/><Relationship Id="rId13" Type="http://schemas.openxmlformats.org/officeDocument/2006/relationships/hyperlink" Target="https://www.dressesboutique.nl/" TargetMode="External"/><Relationship Id="rId14" Type="http://schemas.openxmlformats.org/officeDocument/2006/relationships/hyperlink" Target="https://www.dutchfashiondesign.nl/" TargetMode="External"/><Relationship Id="rId15" Type="http://schemas.openxmlformats.org/officeDocument/2006/relationships/hyperlink" Target="https://mudjeans.com/" TargetMode="External"/><Relationship Id="rId16" Type="http://schemas.openxmlformats.org/officeDocument/2006/relationships/hyperlink" Target="https://www.kinglouie.nl/" TargetMode="External"/><Relationship Id="rId17" Type="http://schemas.openxmlformats.org/officeDocument/2006/relationships/hyperlink" Target="https://www.kingsofindigo.com/" TargetMode="External"/><Relationship Id="rId18" Type="http://schemas.openxmlformats.org/officeDocument/2006/relationships/hyperlink" Target="https://www.colourfulrebel.com/" TargetMode="External"/><Relationship Id="rId19" Type="http://schemas.openxmlformats.org/officeDocument/2006/relationships/hyperlink" Target="https://www.fabiennechapot.com/" TargetMode="External"/><Relationship Id="rId20" Type="http://schemas.openxmlformats.org/officeDocument/2006/relationships/hyperlink" Target="https://www.refineddepartment.com/" TargetMode="External"/><Relationship Id="rId21" Type="http://schemas.openxmlformats.org/officeDocument/2006/relationships/hyperlink" Target="https://www.loftymanner.com/" TargetMode="External"/><Relationship Id="rId22" Type="http://schemas.openxmlformats.org/officeDocument/2006/relationships/hyperlink" Target="https://www.catwalkjunkie.com/" TargetMode="External"/><Relationship Id="rId23" Type="http://schemas.openxmlformats.org/officeDocument/2006/relationships/hyperlink" Target="https://www.janelushka.com/" TargetMode="External"/><Relationship Id="rId24" Type="http://schemas.openxmlformats.org/officeDocument/2006/relationships/hyperlink" Target="https://nukus.nl/" TargetMode="External"/><Relationship Id="rId25" Type="http://schemas.openxmlformats.org/officeDocument/2006/relationships/hyperlink" Target="https://www.ydence.com/" TargetMode="External"/><Relationship Id="rId26" Type="http://schemas.openxmlformats.org/officeDocument/2006/relationships/hyperlink" Target="https://www.another-label.com/" TargetMode="External"/><Relationship Id="rId27" Type="http://schemas.openxmlformats.org/officeDocument/2006/relationships/hyperlink" Target="https://www.aaiko.com/" TargetMode="External"/><Relationship Id="rId28" Type="http://schemas.openxmlformats.org/officeDocument/2006/relationships/hyperlink" Target="https://charliemary.com/" TargetMode="External"/><Relationship Id="rId29" Type="http://schemas.openxmlformats.org/officeDocument/2006/relationships/hyperlink" Target="https://dailypaperclothing.com/" TargetMode="External"/><Relationship Id="rId30" Type="http://schemas.openxmlformats.org/officeDocument/2006/relationships/hyperlink" Target="https://theneworiginals.eu/" TargetMode="External"/><Relationship Id="rId31" Type="http://schemas.openxmlformats.org/officeDocument/2006/relationships/hyperlink" Target="https://olafhussein.com/" TargetMode="External"/><Relationship Id="rId32" Type="http://schemas.openxmlformats.org/officeDocument/2006/relationships/hyperlink" Target="https://flaneur.eu/" TargetMode="External"/><Relationship Id="rId33" Type="http://schemas.openxmlformats.org/officeDocument/2006/relationships/hyperlink" Target="https://lackofguidance.com/" TargetMode="External"/><Relationship Id="rId34" Type="http://schemas.openxmlformats.org/officeDocument/2006/relationships/hyperlink" Target="https://bramsfruit.com/" TargetMode="External"/><Relationship Id="rId35" Type="http://schemas.openxmlformats.org/officeDocument/2006/relationships/hyperlink" Target="https://ingoldwetrust-official.com/" TargetMode="External"/><Relationship Id="rId36" Type="http://schemas.openxmlformats.org/officeDocument/2006/relationships/hyperlink" Target="https://www.zusss.nl/" TargetMode="External"/><Relationship Id="rId37" Type="http://schemas.openxmlformats.org/officeDocument/2006/relationships/hyperlink" Target="https://bylotte.nl/" TargetMode="External"/><Relationship Id="rId38" Type="http://schemas.openxmlformats.org/officeDocument/2006/relationships/hyperlink" Target="https://www.sophiestone.nl/" TargetMode="External"/><Relationship Id="rId39" Type="http://schemas.openxmlformats.org/officeDocument/2006/relationships/hyperlink" Target="https://bij-keesje.nl/" TargetMode="External"/><Relationship Id="rId40" Type="http://schemas.openxmlformats.org/officeDocument/2006/relationships/hyperlink" Target="https://modezza.nl/" TargetMode="External"/><Relationship Id="rId41" Type="http://schemas.openxmlformats.org/officeDocument/2006/relationships/hyperlink" Target="https://tetresponsiblewear.com/" TargetMode="External"/><Relationship Id="rId42" Type="http://schemas.openxmlformats.org/officeDocument/2006/relationships/hyperlink" Target="https://theknitwitstable.nl/" TargetMode="External"/><Relationship Id="rId43" Type="http://schemas.openxmlformats.org/officeDocument/2006/relationships/hyperlink" Target="https://theworldofzazi.com/" TargetMode="External"/><Relationship Id="rId44" Type="http://schemas.openxmlformats.org/officeDocument/2006/relationships/hyperlink" Target="https://allthingsmochi.com/" TargetMode="External"/><Relationship Id="rId45" Type="http://schemas.openxmlformats.org/officeDocument/2006/relationships/hyperlink" Target="https://nou-menon.com/" TargetMode="External"/><Relationship Id="rId46" Type="http://schemas.openxmlformats.org/officeDocument/2006/relationships/hyperlink" Target="https://www.natur-el.nl/" TargetMode="External"/><Relationship Id="rId47" Type="http://schemas.openxmlformats.org/officeDocument/2006/relationships/hyperlink" Target="https://wildatheartbridal.nl/" TargetMode="External"/><Relationship Id="rId48" Type="http://schemas.openxmlformats.org/officeDocument/2006/relationships/hyperlink" Target="https://bleedingindigo.com/" TargetMode="External"/><Relationship Id="rId49" Type="http://schemas.openxmlformats.org/officeDocument/2006/relationships/hyperlink" Target="https://patta.nl/" TargetMode="External"/><Relationship Id="rId50" Type="http://schemas.openxmlformats.org/officeDocument/2006/relationships/hyperlink" Target="https://byparra.com/" TargetMode="External"/><Relationship Id="rId51" Type="http://schemas.openxmlformats.org/officeDocument/2006/relationships/hyperlink" Target="https://fouramsterdam.com/" TargetMode="External"/><Relationship Id="rId52" Type="http://schemas.openxmlformats.org/officeDocument/2006/relationships/hyperlink" Target="https://veld.com/" TargetMode="External"/><Relationship Id="rId53" Type="http://schemas.openxmlformats.org/officeDocument/2006/relationships/hyperlink" Target="https://fillingpieces.com/" TargetMode="External"/><Relationship Id="rId54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4" min="4" style="0" width="34"/>
    <col collapsed="false" customWidth="true" hidden="false" outlineLevel="0" max="5" min="5" style="0" width="13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8"/>
    <col collapsed="false" customWidth="true" hidden="false" outlineLevel="0" max="9" min="9" style="0" width="22"/>
    <col collapsed="false" customWidth="true" hidden="false" outlineLevel="0" max="10" min="10" style="0" width="32"/>
    <col collapsed="false" customWidth="true" hidden="false" outlineLevel="0" max="11" min="11" style="0" width="30"/>
    <col collapsed="false" customWidth="true" hidden="false" outlineLevel="0" max="12" min="12" style="0" width="62"/>
    <col collapsed="false" customWidth="true" hidden="false" outlineLevel="0" max="13" min="13" style="0" width="44"/>
    <col collapsed="false" customWidth="true" hidden="false" outlineLevel="0" max="14" min="14" style="0" width="18"/>
    <col collapsed="false" customWidth="true" hidden="false" outlineLevel="0" max="16" min="15" style="0" width="14"/>
    <col collapsed="false" customWidth="true" hidden="false" outlineLevel="0" max="17" min="17" style="0" width="3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45.75" hidden="false" customHeight="true" outlineLevel="0" collapsed="false">
      <c r="A2" s="2" t="n">
        <v>1</v>
      </c>
      <c r="B2" s="2" t="s">
        <v>17</v>
      </c>
      <c r="C2" s="2" t="s">
        <v>18</v>
      </c>
      <c r="D2" s="3" t="s">
        <v>19</v>
      </c>
      <c r="E2" s="2" t="s">
        <v>20</v>
      </c>
      <c r="F2" s="2" t="s">
        <v>21</v>
      </c>
      <c r="G2" s="2" t="s">
        <v>22</v>
      </c>
      <c r="H2" s="4" t="s">
        <v>23</v>
      </c>
      <c r="I2" s="2" t="s">
        <v>24</v>
      </c>
      <c r="J2" s="5" t="s">
        <v>25</v>
      </c>
      <c r="K2" s="2" t="s">
        <v>26</v>
      </c>
      <c r="L2" s="5" t="s">
        <v>27</v>
      </c>
      <c r="M2" s="5" t="s">
        <v>28</v>
      </c>
      <c r="N2" s="2" t="s">
        <v>29</v>
      </c>
      <c r="O2" s="2"/>
      <c r="P2" s="2"/>
      <c r="Q2" s="2"/>
    </row>
    <row r="3" customFormat="false" ht="45.75" hidden="false" customHeight="true" outlineLevel="0" collapsed="false">
      <c r="A3" s="2" t="n">
        <v>2</v>
      </c>
      <c r="B3" s="2" t="s">
        <v>17</v>
      </c>
      <c r="C3" s="2" t="s">
        <v>30</v>
      </c>
      <c r="D3" s="3" t="s">
        <v>31</v>
      </c>
      <c r="E3" s="2" t="s">
        <v>32</v>
      </c>
      <c r="F3" s="2" t="s">
        <v>33</v>
      </c>
      <c r="G3" s="2" t="s">
        <v>34</v>
      </c>
      <c r="H3" s="4" t="s">
        <v>23</v>
      </c>
      <c r="I3" s="2" t="s">
        <v>35</v>
      </c>
      <c r="J3" s="5" t="s">
        <v>36</v>
      </c>
      <c r="K3" s="2" t="s">
        <v>37</v>
      </c>
      <c r="L3" s="5" t="s">
        <v>38</v>
      </c>
      <c r="M3" s="5" t="s">
        <v>39</v>
      </c>
      <c r="N3" s="2" t="s">
        <v>29</v>
      </c>
      <c r="O3" s="2"/>
      <c r="P3" s="2"/>
      <c r="Q3" s="2"/>
    </row>
    <row r="4" customFormat="false" ht="45.75" hidden="false" customHeight="true" outlineLevel="0" collapsed="false">
      <c r="A4" s="2" t="n">
        <v>3</v>
      </c>
      <c r="B4" s="2" t="s">
        <v>17</v>
      </c>
      <c r="C4" s="2" t="s">
        <v>40</v>
      </c>
      <c r="D4" s="3" t="s">
        <v>41</v>
      </c>
      <c r="E4" s="2" t="s">
        <v>42</v>
      </c>
      <c r="F4" s="2" t="s">
        <v>43</v>
      </c>
      <c r="G4" s="2" t="s">
        <v>22</v>
      </c>
      <c r="H4" s="4" t="s">
        <v>23</v>
      </c>
      <c r="I4" s="2" t="s">
        <v>44</v>
      </c>
      <c r="J4" s="5" t="s">
        <v>45</v>
      </c>
      <c r="K4" s="2" t="s">
        <v>46</v>
      </c>
      <c r="L4" s="5" t="s">
        <v>47</v>
      </c>
      <c r="M4" s="5" t="s">
        <v>48</v>
      </c>
      <c r="N4" s="2" t="s">
        <v>29</v>
      </c>
      <c r="O4" s="2"/>
      <c r="P4" s="2"/>
      <c r="Q4" s="2"/>
    </row>
    <row r="5" customFormat="false" ht="45.75" hidden="false" customHeight="true" outlineLevel="0" collapsed="false">
      <c r="A5" s="2" t="n">
        <v>4</v>
      </c>
      <c r="B5" s="2" t="s">
        <v>17</v>
      </c>
      <c r="C5" s="2" t="s">
        <v>49</v>
      </c>
      <c r="D5" s="3" t="s">
        <v>50</v>
      </c>
      <c r="E5" s="2" t="s">
        <v>32</v>
      </c>
      <c r="F5" s="2" t="s">
        <v>51</v>
      </c>
      <c r="G5" s="2" t="s">
        <v>22</v>
      </c>
      <c r="H5" s="4" t="s">
        <v>23</v>
      </c>
      <c r="I5" s="2" t="s">
        <v>52</v>
      </c>
      <c r="J5" s="5" t="s">
        <v>53</v>
      </c>
      <c r="K5" s="2" t="s">
        <v>54</v>
      </c>
      <c r="L5" s="5" t="s">
        <v>55</v>
      </c>
      <c r="M5" s="5" t="s">
        <v>56</v>
      </c>
      <c r="N5" s="2" t="s">
        <v>29</v>
      </c>
      <c r="O5" s="2"/>
      <c r="P5" s="2"/>
      <c r="Q5" s="2"/>
    </row>
    <row r="6" customFormat="false" ht="45.75" hidden="false" customHeight="true" outlineLevel="0" collapsed="false">
      <c r="A6" s="2" t="n">
        <v>5</v>
      </c>
      <c r="B6" s="2" t="s">
        <v>17</v>
      </c>
      <c r="C6" s="2" t="s">
        <v>57</v>
      </c>
      <c r="D6" s="3" t="s">
        <v>58</v>
      </c>
      <c r="E6" s="2" t="s">
        <v>42</v>
      </c>
      <c r="F6" s="2" t="s">
        <v>59</v>
      </c>
      <c r="G6" s="2" t="s">
        <v>60</v>
      </c>
      <c r="H6" s="4" t="s">
        <v>23</v>
      </c>
      <c r="I6" s="2" t="s">
        <v>61</v>
      </c>
      <c r="J6" s="5" t="s">
        <v>53</v>
      </c>
      <c r="K6" s="2" t="s">
        <v>62</v>
      </c>
      <c r="L6" s="5" t="s">
        <v>63</v>
      </c>
      <c r="M6" s="5" t="s">
        <v>64</v>
      </c>
      <c r="N6" s="2" t="s">
        <v>29</v>
      </c>
      <c r="O6" s="2"/>
      <c r="P6" s="2"/>
      <c r="Q6" s="2"/>
    </row>
    <row r="7" customFormat="false" ht="45.75" hidden="false" customHeight="true" outlineLevel="0" collapsed="false">
      <c r="A7" s="2" t="n">
        <v>6</v>
      </c>
      <c r="B7" s="2" t="s">
        <v>17</v>
      </c>
      <c r="C7" s="2" t="s">
        <v>65</v>
      </c>
      <c r="D7" s="3" t="s">
        <v>66</v>
      </c>
      <c r="E7" s="2" t="s">
        <v>20</v>
      </c>
      <c r="F7" s="2" t="s">
        <v>67</v>
      </c>
      <c r="G7" s="2" t="s">
        <v>34</v>
      </c>
      <c r="H7" s="4" t="s">
        <v>23</v>
      </c>
      <c r="I7" s="2" t="s">
        <v>68</v>
      </c>
      <c r="J7" s="5" t="s">
        <v>69</v>
      </c>
      <c r="K7" s="2" t="s">
        <v>70</v>
      </c>
      <c r="L7" s="5" t="s">
        <v>71</v>
      </c>
      <c r="M7" s="5" t="s">
        <v>72</v>
      </c>
      <c r="N7" s="2" t="s">
        <v>29</v>
      </c>
      <c r="O7" s="2"/>
      <c r="P7" s="2"/>
      <c r="Q7" s="2"/>
    </row>
    <row r="8" customFormat="false" ht="45.75" hidden="false" customHeight="true" outlineLevel="0" collapsed="false">
      <c r="A8" s="2" t="n">
        <v>7</v>
      </c>
      <c r="B8" s="2" t="s">
        <v>17</v>
      </c>
      <c r="C8" s="2" t="s">
        <v>73</v>
      </c>
      <c r="D8" s="3" t="s">
        <v>74</v>
      </c>
      <c r="E8" s="2" t="s">
        <v>20</v>
      </c>
      <c r="F8" s="2" t="s">
        <v>75</v>
      </c>
      <c r="G8" s="2" t="s">
        <v>34</v>
      </c>
      <c r="H8" s="4" t="s">
        <v>23</v>
      </c>
      <c r="I8" s="2" t="s">
        <v>76</v>
      </c>
      <c r="J8" s="5" t="s">
        <v>77</v>
      </c>
      <c r="K8" s="2" t="s">
        <v>78</v>
      </c>
      <c r="L8" s="5" t="s">
        <v>79</v>
      </c>
      <c r="M8" s="5" t="s">
        <v>80</v>
      </c>
      <c r="N8" s="2" t="s">
        <v>29</v>
      </c>
      <c r="O8" s="2"/>
      <c r="P8" s="2"/>
      <c r="Q8" s="2"/>
    </row>
    <row r="9" customFormat="false" ht="45.75" hidden="false" customHeight="true" outlineLevel="0" collapsed="false">
      <c r="A9" s="2" t="n">
        <v>8</v>
      </c>
      <c r="B9" s="2" t="s">
        <v>17</v>
      </c>
      <c r="C9" s="2" t="s">
        <v>81</v>
      </c>
      <c r="D9" s="3" t="s">
        <v>82</v>
      </c>
      <c r="E9" s="2" t="s">
        <v>32</v>
      </c>
      <c r="F9" s="2" t="s">
        <v>83</v>
      </c>
      <c r="G9" s="2" t="s">
        <v>60</v>
      </c>
      <c r="H9" s="4" t="s">
        <v>23</v>
      </c>
      <c r="I9" s="2" t="s">
        <v>84</v>
      </c>
      <c r="J9" s="5" t="s">
        <v>85</v>
      </c>
      <c r="K9" s="2" t="s">
        <v>86</v>
      </c>
      <c r="L9" s="5" t="s">
        <v>87</v>
      </c>
      <c r="M9" s="5" t="s">
        <v>88</v>
      </c>
      <c r="N9" s="2" t="s">
        <v>29</v>
      </c>
      <c r="O9" s="2"/>
      <c r="P9" s="2"/>
      <c r="Q9" s="2"/>
    </row>
    <row r="10" customFormat="false" ht="45.75" hidden="false" customHeight="true" outlineLevel="0" collapsed="false">
      <c r="A10" s="2" t="n">
        <v>9</v>
      </c>
      <c r="B10" s="2" t="s">
        <v>17</v>
      </c>
      <c r="C10" s="2" t="s">
        <v>89</v>
      </c>
      <c r="D10" s="3" t="s">
        <v>90</v>
      </c>
      <c r="E10" s="2" t="s">
        <v>32</v>
      </c>
      <c r="F10" s="2" t="s">
        <v>91</v>
      </c>
      <c r="G10" s="2" t="s">
        <v>34</v>
      </c>
      <c r="H10" s="4" t="s">
        <v>23</v>
      </c>
      <c r="I10" s="2" t="s">
        <v>92</v>
      </c>
      <c r="J10" s="5" t="s">
        <v>93</v>
      </c>
      <c r="K10" s="2" t="s">
        <v>94</v>
      </c>
      <c r="L10" s="5" t="s">
        <v>95</v>
      </c>
      <c r="M10" s="5" t="s">
        <v>96</v>
      </c>
      <c r="N10" s="2" t="s">
        <v>29</v>
      </c>
      <c r="O10" s="2"/>
      <c r="P10" s="2"/>
      <c r="Q10" s="2"/>
    </row>
    <row r="11" customFormat="false" ht="45.75" hidden="false" customHeight="true" outlineLevel="0" collapsed="false">
      <c r="A11" s="2" t="n">
        <v>10</v>
      </c>
      <c r="B11" s="2" t="s">
        <v>17</v>
      </c>
      <c r="C11" s="2" t="s">
        <v>97</v>
      </c>
      <c r="D11" s="3" t="s">
        <v>98</v>
      </c>
      <c r="E11" s="2" t="s">
        <v>32</v>
      </c>
      <c r="F11" s="2" t="s">
        <v>99</v>
      </c>
      <c r="G11" s="2" t="s">
        <v>22</v>
      </c>
      <c r="H11" s="4" t="s">
        <v>23</v>
      </c>
      <c r="I11" s="2" t="s">
        <v>100</v>
      </c>
      <c r="J11" s="5" t="s">
        <v>53</v>
      </c>
      <c r="K11" s="2" t="s">
        <v>101</v>
      </c>
      <c r="L11" s="5" t="s">
        <v>102</v>
      </c>
      <c r="M11" s="5" t="s">
        <v>103</v>
      </c>
      <c r="N11" s="2" t="s">
        <v>29</v>
      </c>
      <c r="O11" s="2"/>
      <c r="P11" s="2"/>
      <c r="Q11" s="2"/>
    </row>
    <row r="12" customFormat="false" ht="45.75" hidden="false" customHeight="true" outlineLevel="0" collapsed="false">
      <c r="A12" s="2" t="n">
        <v>11</v>
      </c>
      <c r="B12" s="2" t="s">
        <v>104</v>
      </c>
      <c r="C12" s="2" t="s">
        <v>105</v>
      </c>
      <c r="D12" s="3" t="s">
        <v>106</v>
      </c>
      <c r="E12" s="2" t="s">
        <v>32</v>
      </c>
      <c r="F12" s="2" t="s">
        <v>107</v>
      </c>
      <c r="G12" s="2" t="s">
        <v>34</v>
      </c>
      <c r="H12" s="4" t="s">
        <v>23</v>
      </c>
      <c r="I12" s="2" t="s">
        <v>108</v>
      </c>
      <c r="J12" s="5" t="s">
        <v>53</v>
      </c>
      <c r="K12" s="2" t="s">
        <v>109</v>
      </c>
      <c r="L12" s="5" t="s">
        <v>110</v>
      </c>
      <c r="M12" s="5" t="s">
        <v>111</v>
      </c>
      <c r="N12" s="2" t="s">
        <v>29</v>
      </c>
      <c r="O12" s="2"/>
      <c r="P12" s="2"/>
      <c r="Q12" s="2"/>
    </row>
    <row r="13" customFormat="false" ht="45.75" hidden="false" customHeight="true" outlineLevel="0" collapsed="false">
      <c r="A13" s="2" t="n">
        <v>12</v>
      </c>
      <c r="B13" s="2" t="s">
        <v>104</v>
      </c>
      <c r="C13" s="2" t="s">
        <v>112</v>
      </c>
      <c r="D13" s="3" t="s">
        <v>113</v>
      </c>
      <c r="E13" s="2" t="s">
        <v>114</v>
      </c>
      <c r="F13" s="2" t="s">
        <v>115</v>
      </c>
      <c r="G13" s="2" t="s">
        <v>34</v>
      </c>
      <c r="H13" s="4" t="s">
        <v>23</v>
      </c>
      <c r="I13" s="2" t="s">
        <v>116</v>
      </c>
      <c r="J13" s="5" t="s">
        <v>117</v>
      </c>
      <c r="K13" s="2" t="s">
        <v>118</v>
      </c>
      <c r="L13" s="5" t="s">
        <v>119</v>
      </c>
      <c r="M13" s="5" t="s">
        <v>120</v>
      </c>
      <c r="N13" s="2" t="s">
        <v>29</v>
      </c>
      <c r="O13" s="2"/>
      <c r="P13" s="2"/>
      <c r="Q13" s="2"/>
    </row>
    <row r="14" customFormat="false" ht="45.75" hidden="false" customHeight="true" outlineLevel="0" collapsed="false">
      <c r="A14" s="2" t="n">
        <v>13</v>
      </c>
      <c r="B14" s="2" t="s">
        <v>104</v>
      </c>
      <c r="C14" s="2" t="s">
        <v>121</v>
      </c>
      <c r="D14" s="3" t="s">
        <v>122</v>
      </c>
      <c r="E14" s="2" t="s">
        <v>123</v>
      </c>
      <c r="F14" s="2" t="s">
        <v>124</v>
      </c>
      <c r="G14" s="2" t="s">
        <v>34</v>
      </c>
      <c r="H14" s="4" t="s">
        <v>23</v>
      </c>
      <c r="I14" s="2" t="s">
        <v>125</v>
      </c>
      <c r="J14" s="5" t="s">
        <v>126</v>
      </c>
      <c r="K14" s="2" t="s">
        <v>127</v>
      </c>
      <c r="L14" s="5" t="s">
        <v>128</v>
      </c>
      <c r="M14" s="5" t="s">
        <v>129</v>
      </c>
      <c r="N14" s="2" t="s">
        <v>29</v>
      </c>
      <c r="O14" s="2"/>
      <c r="P14" s="2"/>
      <c r="Q14" s="2"/>
    </row>
    <row r="15" customFormat="false" ht="45.75" hidden="false" customHeight="true" outlineLevel="0" collapsed="false">
      <c r="A15" s="2" t="n">
        <v>14</v>
      </c>
      <c r="B15" s="2" t="s">
        <v>104</v>
      </c>
      <c r="C15" s="2" t="s">
        <v>130</v>
      </c>
      <c r="D15" s="3" t="s">
        <v>131</v>
      </c>
      <c r="E15" s="2" t="s">
        <v>132</v>
      </c>
      <c r="F15" s="2" t="s">
        <v>133</v>
      </c>
      <c r="G15" s="2" t="s">
        <v>34</v>
      </c>
      <c r="H15" s="4" t="s">
        <v>23</v>
      </c>
      <c r="I15" s="2" t="s">
        <v>134</v>
      </c>
      <c r="J15" s="5" t="s">
        <v>53</v>
      </c>
      <c r="K15" s="2" t="s">
        <v>135</v>
      </c>
      <c r="L15" s="5" t="s">
        <v>136</v>
      </c>
      <c r="M15" s="5" t="s">
        <v>137</v>
      </c>
      <c r="N15" s="2" t="s">
        <v>29</v>
      </c>
      <c r="O15" s="2"/>
      <c r="P15" s="2"/>
      <c r="Q15" s="2"/>
    </row>
    <row r="16" customFormat="false" ht="45.75" hidden="false" customHeight="true" outlineLevel="0" collapsed="false">
      <c r="A16" s="2" t="n">
        <v>15</v>
      </c>
      <c r="B16" s="2" t="s">
        <v>104</v>
      </c>
      <c r="C16" s="2" t="s">
        <v>138</v>
      </c>
      <c r="D16" s="3" t="s">
        <v>139</v>
      </c>
      <c r="E16" s="2" t="s">
        <v>114</v>
      </c>
      <c r="F16" s="2" t="s">
        <v>140</v>
      </c>
      <c r="G16" s="2" t="s">
        <v>22</v>
      </c>
      <c r="H16" s="4" t="s">
        <v>23</v>
      </c>
      <c r="I16" s="2" t="s">
        <v>141</v>
      </c>
      <c r="J16" s="5" t="s">
        <v>142</v>
      </c>
      <c r="K16" s="2" t="s">
        <v>143</v>
      </c>
      <c r="L16" s="5" t="s">
        <v>144</v>
      </c>
      <c r="M16" s="5" t="s">
        <v>145</v>
      </c>
      <c r="N16" s="2" t="s">
        <v>29</v>
      </c>
      <c r="O16" s="2"/>
      <c r="P16" s="2"/>
      <c r="Q16" s="2"/>
    </row>
    <row r="17" customFormat="false" ht="45.75" hidden="false" customHeight="true" outlineLevel="0" collapsed="false">
      <c r="A17" s="2" t="n">
        <v>16</v>
      </c>
      <c r="B17" s="2" t="s">
        <v>104</v>
      </c>
      <c r="C17" s="2" t="s">
        <v>146</v>
      </c>
      <c r="D17" s="3" t="s">
        <v>147</v>
      </c>
      <c r="E17" s="2" t="s">
        <v>132</v>
      </c>
      <c r="F17" s="2" t="s">
        <v>148</v>
      </c>
      <c r="G17" s="2" t="s">
        <v>22</v>
      </c>
      <c r="H17" s="4" t="s">
        <v>23</v>
      </c>
      <c r="I17" s="2" t="s">
        <v>149</v>
      </c>
      <c r="J17" s="5" t="s">
        <v>150</v>
      </c>
      <c r="K17" s="2" t="s">
        <v>151</v>
      </c>
      <c r="L17" s="5" t="s">
        <v>152</v>
      </c>
      <c r="M17" s="5" t="s">
        <v>153</v>
      </c>
      <c r="N17" s="2" t="s">
        <v>29</v>
      </c>
      <c r="O17" s="2"/>
      <c r="P17" s="2"/>
      <c r="Q17" s="2"/>
    </row>
    <row r="18" customFormat="false" ht="45.75" hidden="false" customHeight="true" outlineLevel="0" collapsed="false">
      <c r="A18" s="2" t="n">
        <v>17</v>
      </c>
      <c r="B18" s="2" t="s">
        <v>104</v>
      </c>
      <c r="C18" s="2" t="s">
        <v>154</v>
      </c>
      <c r="D18" s="3" t="s">
        <v>155</v>
      </c>
      <c r="E18" s="2" t="s">
        <v>114</v>
      </c>
      <c r="F18" s="2" t="s">
        <v>156</v>
      </c>
      <c r="G18" s="2" t="s">
        <v>22</v>
      </c>
      <c r="H18" s="4" t="s">
        <v>23</v>
      </c>
      <c r="I18" s="2" t="s">
        <v>157</v>
      </c>
      <c r="J18" s="5" t="s">
        <v>158</v>
      </c>
      <c r="K18" s="2" t="s">
        <v>159</v>
      </c>
      <c r="L18" s="5" t="s">
        <v>160</v>
      </c>
      <c r="M18" s="5" t="s">
        <v>161</v>
      </c>
      <c r="N18" s="2" t="s">
        <v>29</v>
      </c>
      <c r="O18" s="2"/>
      <c r="P18" s="2"/>
      <c r="Q18" s="2"/>
    </row>
    <row r="19" customFormat="false" ht="45.75" hidden="false" customHeight="true" outlineLevel="0" collapsed="false">
      <c r="A19" s="2" t="n">
        <v>18</v>
      </c>
      <c r="B19" s="2" t="s">
        <v>104</v>
      </c>
      <c r="C19" s="2" t="s">
        <v>162</v>
      </c>
      <c r="D19" s="3" t="s">
        <v>163</v>
      </c>
      <c r="E19" s="2" t="s">
        <v>132</v>
      </c>
      <c r="F19" s="2" t="s">
        <v>164</v>
      </c>
      <c r="G19" s="2" t="s">
        <v>22</v>
      </c>
      <c r="H19" s="4" t="s">
        <v>23</v>
      </c>
      <c r="I19" s="2" t="s">
        <v>165</v>
      </c>
      <c r="J19" s="5" t="s">
        <v>166</v>
      </c>
      <c r="K19" s="2" t="s">
        <v>167</v>
      </c>
      <c r="L19" s="5" t="s">
        <v>168</v>
      </c>
      <c r="M19" s="5" t="s">
        <v>169</v>
      </c>
      <c r="N19" s="2" t="s">
        <v>29</v>
      </c>
      <c r="O19" s="2"/>
      <c r="P19" s="2"/>
      <c r="Q19" s="2"/>
    </row>
    <row r="20" customFormat="false" ht="45.75" hidden="false" customHeight="true" outlineLevel="0" collapsed="false">
      <c r="A20" s="2" t="n">
        <v>19</v>
      </c>
      <c r="B20" s="2" t="s">
        <v>104</v>
      </c>
      <c r="C20" s="2" t="s">
        <v>170</v>
      </c>
      <c r="D20" s="3" t="s">
        <v>171</v>
      </c>
      <c r="E20" s="2" t="s">
        <v>132</v>
      </c>
      <c r="F20" s="2" t="s">
        <v>172</v>
      </c>
      <c r="G20" s="2" t="s">
        <v>22</v>
      </c>
      <c r="H20" s="4" t="s">
        <v>23</v>
      </c>
      <c r="I20" s="2" t="s">
        <v>173</v>
      </c>
      <c r="J20" s="5" t="s">
        <v>170</v>
      </c>
      <c r="K20" s="2" t="s">
        <v>174</v>
      </c>
      <c r="L20" s="5" t="s">
        <v>175</v>
      </c>
      <c r="M20" s="5" t="s">
        <v>176</v>
      </c>
      <c r="N20" s="2" t="s">
        <v>29</v>
      </c>
      <c r="O20" s="2"/>
      <c r="P20" s="2"/>
      <c r="Q20" s="2"/>
    </row>
    <row r="21" customFormat="false" ht="45.75" hidden="false" customHeight="true" outlineLevel="0" collapsed="false">
      <c r="A21" s="2" t="n">
        <v>20</v>
      </c>
      <c r="B21" s="2" t="s">
        <v>104</v>
      </c>
      <c r="C21" s="2" t="s">
        <v>177</v>
      </c>
      <c r="D21" s="3" t="s">
        <v>178</v>
      </c>
      <c r="E21" s="2" t="s">
        <v>132</v>
      </c>
      <c r="F21" s="2" t="s">
        <v>179</v>
      </c>
      <c r="G21" s="2" t="s">
        <v>22</v>
      </c>
      <c r="H21" s="4" t="s">
        <v>23</v>
      </c>
      <c r="I21" s="2" t="s">
        <v>180</v>
      </c>
      <c r="J21" s="5" t="s">
        <v>53</v>
      </c>
      <c r="K21" s="2" t="s">
        <v>181</v>
      </c>
      <c r="L21" s="5" t="s">
        <v>182</v>
      </c>
      <c r="M21" s="5" t="s">
        <v>183</v>
      </c>
      <c r="N21" s="2" t="s">
        <v>29</v>
      </c>
      <c r="O21" s="2"/>
      <c r="P21" s="2"/>
      <c r="Q21" s="2"/>
    </row>
    <row r="22" customFormat="false" ht="45.75" hidden="false" customHeight="true" outlineLevel="0" collapsed="false">
      <c r="A22" s="2" t="n">
        <v>21</v>
      </c>
      <c r="B22" s="2" t="s">
        <v>184</v>
      </c>
      <c r="C22" s="2" t="s">
        <v>185</v>
      </c>
      <c r="D22" s="3" t="s">
        <v>186</v>
      </c>
      <c r="E22" s="2" t="s">
        <v>132</v>
      </c>
      <c r="F22" s="2" t="s">
        <v>187</v>
      </c>
      <c r="G22" s="2" t="s">
        <v>22</v>
      </c>
      <c r="H22" s="4" t="s">
        <v>23</v>
      </c>
      <c r="I22" s="2" t="s">
        <v>188</v>
      </c>
      <c r="J22" s="5" t="s">
        <v>53</v>
      </c>
      <c r="K22" s="2" t="s">
        <v>189</v>
      </c>
      <c r="L22" s="5" t="s">
        <v>190</v>
      </c>
      <c r="M22" s="5" t="s">
        <v>191</v>
      </c>
      <c r="N22" s="2" t="s">
        <v>29</v>
      </c>
      <c r="O22" s="2"/>
      <c r="P22" s="2"/>
      <c r="Q22" s="2"/>
    </row>
    <row r="23" customFormat="false" ht="45.75" hidden="false" customHeight="true" outlineLevel="0" collapsed="false">
      <c r="A23" s="2" t="n">
        <v>22</v>
      </c>
      <c r="B23" s="2" t="s">
        <v>184</v>
      </c>
      <c r="C23" s="2" t="s">
        <v>192</v>
      </c>
      <c r="D23" s="3" t="s">
        <v>193</v>
      </c>
      <c r="E23" s="2" t="s">
        <v>132</v>
      </c>
      <c r="F23" s="2" t="s">
        <v>194</v>
      </c>
      <c r="G23" s="2" t="s">
        <v>22</v>
      </c>
      <c r="H23" s="4" t="s">
        <v>23</v>
      </c>
      <c r="I23" s="2" t="s">
        <v>195</v>
      </c>
      <c r="J23" s="5" t="s">
        <v>196</v>
      </c>
      <c r="K23" s="2" t="s">
        <v>197</v>
      </c>
      <c r="L23" s="5" t="s">
        <v>198</v>
      </c>
      <c r="M23" s="5" t="s">
        <v>199</v>
      </c>
      <c r="N23" s="2" t="s">
        <v>29</v>
      </c>
      <c r="O23" s="2"/>
      <c r="P23" s="2"/>
      <c r="Q23" s="2"/>
    </row>
    <row r="24" customFormat="false" ht="45.75" hidden="false" customHeight="true" outlineLevel="0" collapsed="false">
      <c r="A24" s="2" t="n">
        <v>23</v>
      </c>
      <c r="B24" s="2" t="s">
        <v>184</v>
      </c>
      <c r="C24" s="2" t="s">
        <v>200</v>
      </c>
      <c r="D24" s="3" t="s">
        <v>201</v>
      </c>
      <c r="E24" s="2" t="s">
        <v>132</v>
      </c>
      <c r="F24" s="2" t="s">
        <v>202</v>
      </c>
      <c r="G24" s="2" t="s">
        <v>22</v>
      </c>
      <c r="H24" s="4" t="s">
        <v>23</v>
      </c>
      <c r="I24" s="2" t="s">
        <v>203</v>
      </c>
      <c r="J24" s="5" t="s">
        <v>204</v>
      </c>
      <c r="K24" s="2" t="s">
        <v>205</v>
      </c>
      <c r="L24" s="5" t="s">
        <v>206</v>
      </c>
      <c r="M24" s="5" t="s">
        <v>207</v>
      </c>
      <c r="N24" s="2" t="s">
        <v>29</v>
      </c>
      <c r="O24" s="2"/>
      <c r="P24" s="2"/>
      <c r="Q24" s="2"/>
    </row>
    <row r="25" customFormat="false" ht="45.75" hidden="false" customHeight="true" outlineLevel="0" collapsed="false">
      <c r="A25" s="2" t="n">
        <v>24</v>
      </c>
      <c r="B25" s="2" t="s">
        <v>184</v>
      </c>
      <c r="C25" s="2" t="s">
        <v>208</v>
      </c>
      <c r="D25" s="3" t="s">
        <v>209</v>
      </c>
      <c r="E25" s="2" t="s">
        <v>132</v>
      </c>
      <c r="F25" s="2" t="s">
        <v>210</v>
      </c>
      <c r="G25" s="2" t="s">
        <v>22</v>
      </c>
      <c r="H25" s="4" t="s">
        <v>23</v>
      </c>
      <c r="I25" s="2" t="s">
        <v>211</v>
      </c>
      <c r="J25" s="5" t="s">
        <v>212</v>
      </c>
      <c r="K25" s="2" t="s">
        <v>213</v>
      </c>
      <c r="L25" s="5" t="s">
        <v>214</v>
      </c>
      <c r="M25" s="5" t="s">
        <v>215</v>
      </c>
      <c r="N25" s="2" t="s">
        <v>29</v>
      </c>
      <c r="O25" s="2"/>
      <c r="P25" s="2"/>
      <c r="Q25" s="2"/>
    </row>
    <row r="26" customFormat="false" ht="45.75" hidden="false" customHeight="true" outlineLevel="0" collapsed="false">
      <c r="A26" s="2" t="n">
        <v>25</v>
      </c>
      <c r="B26" s="2" t="s">
        <v>184</v>
      </c>
      <c r="C26" s="2" t="s">
        <v>216</v>
      </c>
      <c r="D26" s="3" t="s">
        <v>217</v>
      </c>
      <c r="E26" s="2" t="s">
        <v>132</v>
      </c>
      <c r="F26" s="2" t="s">
        <v>218</v>
      </c>
      <c r="G26" s="2" t="s">
        <v>22</v>
      </c>
      <c r="H26" s="4" t="s">
        <v>23</v>
      </c>
      <c r="I26" s="2" t="s">
        <v>219</v>
      </c>
      <c r="J26" s="5" t="s">
        <v>220</v>
      </c>
      <c r="K26" s="2" t="s">
        <v>221</v>
      </c>
      <c r="L26" s="5" t="s">
        <v>222</v>
      </c>
      <c r="M26" s="5" t="s">
        <v>223</v>
      </c>
      <c r="N26" s="2" t="s">
        <v>29</v>
      </c>
      <c r="O26" s="2"/>
      <c r="P26" s="2"/>
      <c r="Q26" s="2"/>
    </row>
    <row r="27" customFormat="false" ht="45.75" hidden="false" customHeight="true" outlineLevel="0" collapsed="false">
      <c r="A27" s="2" t="n">
        <v>26</v>
      </c>
      <c r="B27" s="2" t="s">
        <v>184</v>
      </c>
      <c r="C27" s="2" t="s">
        <v>224</v>
      </c>
      <c r="D27" s="3" t="s">
        <v>225</v>
      </c>
      <c r="E27" s="2" t="s">
        <v>132</v>
      </c>
      <c r="F27" s="2" t="s">
        <v>226</v>
      </c>
      <c r="G27" s="2" t="s">
        <v>60</v>
      </c>
      <c r="H27" s="4" t="s">
        <v>23</v>
      </c>
      <c r="I27" s="2" t="s">
        <v>53</v>
      </c>
      <c r="J27" s="5" t="s">
        <v>53</v>
      </c>
      <c r="K27" s="2" t="s">
        <v>53</v>
      </c>
      <c r="L27" s="5" t="s">
        <v>227</v>
      </c>
      <c r="M27" s="5" t="s">
        <v>228</v>
      </c>
      <c r="N27" s="2" t="s">
        <v>29</v>
      </c>
      <c r="O27" s="2"/>
      <c r="P27" s="2"/>
      <c r="Q27" s="2"/>
    </row>
    <row r="28" customFormat="false" ht="45.75" hidden="false" customHeight="true" outlineLevel="0" collapsed="false">
      <c r="A28" s="2" t="n">
        <v>27</v>
      </c>
      <c r="B28" s="2" t="s">
        <v>184</v>
      </c>
      <c r="C28" s="2" t="s">
        <v>229</v>
      </c>
      <c r="D28" s="3" t="s">
        <v>230</v>
      </c>
      <c r="E28" s="2" t="s">
        <v>132</v>
      </c>
      <c r="F28" s="2" t="s">
        <v>231</v>
      </c>
      <c r="G28" s="2" t="s">
        <v>22</v>
      </c>
      <c r="H28" s="4" t="s">
        <v>23</v>
      </c>
      <c r="I28" s="2" t="s">
        <v>232</v>
      </c>
      <c r="J28" s="5" t="s">
        <v>233</v>
      </c>
      <c r="K28" s="2" t="s">
        <v>234</v>
      </c>
      <c r="L28" s="5" t="s">
        <v>235</v>
      </c>
      <c r="M28" s="5" t="s">
        <v>236</v>
      </c>
      <c r="N28" s="2" t="s">
        <v>29</v>
      </c>
      <c r="O28" s="2"/>
      <c r="P28" s="2"/>
      <c r="Q28" s="2"/>
    </row>
    <row r="29" customFormat="false" ht="45.75" hidden="false" customHeight="true" outlineLevel="0" collapsed="false">
      <c r="A29" s="2" t="n">
        <v>28</v>
      </c>
      <c r="B29" s="2" t="s">
        <v>184</v>
      </c>
      <c r="C29" s="2" t="s">
        <v>237</v>
      </c>
      <c r="D29" s="3" t="s">
        <v>238</v>
      </c>
      <c r="E29" s="2" t="s">
        <v>114</v>
      </c>
      <c r="F29" s="2" t="s">
        <v>239</v>
      </c>
      <c r="G29" s="2" t="s">
        <v>34</v>
      </c>
      <c r="H29" s="4" t="s">
        <v>23</v>
      </c>
      <c r="I29" s="2" t="s">
        <v>240</v>
      </c>
      <c r="J29" s="5" t="s">
        <v>241</v>
      </c>
      <c r="K29" s="2" t="s">
        <v>242</v>
      </c>
      <c r="L29" s="5" t="s">
        <v>243</v>
      </c>
      <c r="M29" s="5" t="s">
        <v>244</v>
      </c>
      <c r="N29" s="2" t="s">
        <v>29</v>
      </c>
      <c r="O29" s="2"/>
      <c r="P29" s="2"/>
      <c r="Q29" s="2"/>
    </row>
    <row r="30" customFormat="false" ht="45.75" hidden="false" customHeight="true" outlineLevel="0" collapsed="false">
      <c r="A30" s="2" t="n">
        <v>29</v>
      </c>
      <c r="B30" s="2" t="s">
        <v>184</v>
      </c>
      <c r="C30" s="2" t="s">
        <v>245</v>
      </c>
      <c r="D30" s="3" t="s">
        <v>246</v>
      </c>
      <c r="E30" s="2" t="s">
        <v>247</v>
      </c>
      <c r="F30" s="2" t="s">
        <v>248</v>
      </c>
      <c r="G30" s="2" t="s">
        <v>22</v>
      </c>
      <c r="H30" s="4" t="s">
        <v>23</v>
      </c>
      <c r="I30" s="2" t="s">
        <v>249</v>
      </c>
      <c r="J30" s="5" t="s">
        <v>250</v>
      </c>
      <c r="K30" s="2" t="s">
        <v>251</v>
      </c>
      <c r="L30" s="5" t="s">
        <v>252</v>
      </c>
      <c r="M30" s="5" t="s">
        <v>253</v>
      </c>
      <c r="N30" s="2" t="s">
        <v>29</v>
      </c>
      <c r="O30" s="2"/>
      <c r="P30" s="2"/>
      <c r="Q30" s="2"/>
    </row>
    <row r="31" customFormat="false" ht="45.75" hidden="false" customHeight="true" outlineLevel="0" collapsed="false">
      <c r="A31" s="2" t="n">
        <v>30</v>
      </c>
      <c r="B31" s="2" t="s">
        <v>184</v>
      </c>
      <c r="C31" s="2" t="s">
        <v>254</v>
      </c>
      <c r="D31" s="3" t="s">
        <v>255</v>
      </c>
      <c r="E31" s="2" t="s">
        <v>247</v>
      </c>
      <c r="F31" s="2" t="s">
        <v>256</v>
      </c>
      <c r="G31" s="2" t="s">
        <v>22</v>
      </c>
      <c r="H31" s="4" t="s">
        <v>23</v>
      </c>
      <c r="I31" s="2" t="s">
        <v>257</v>
      </c>
      <c r="J31" s="5" t="s">
        <v>53</v>
      </c>
      <c r="K31" s="2" t="s">
        <v>258</v>
      </c>
      <c r="L31" s="5" t="s">
        <v>259</v>
      </c>
      <c r="M31" s="5" t="s">
        <v>253</v>
      </c>
      <c r="N31" s="2" t="s">
        <v>29</v>
      </c>
      <c r="O31" s="2"/>
      <c r="P31" s="2"/>
      <c r="Q31" s="2"/>
    </row>
    <row r="32" customFormat="false" ht="45.75" hidden="false" customHeight="true" outlineLevel="0" collapsed="false">
      <c r="A32" s="2" t="n">
        <v>31</v>
      </c>
      <c r="B32" s="2" t="s">
        <v>260</v>
      </c>
      <c r="C32" s="2" t="s">
        <v>261</v>
      </c>
      <c r="D32" s="3" t="s">
        <v>262</v>
      </c>
      <c r="E32" s="2" t="s">
        <v>263</v>
      </c>
      <c r="F32" s="2" t="s">
        <v>264</v>
      </c>
      <c r="G32" s="2" t="s">
        <v>22</v>
      </c>
      <c r="H32" s="4" t="s">
        <v>23</v>
      </c>
      <c r="I32" s="2" t="s">
        <v>265</v>
      </c>
      <c r="J32" s="5" t="s">
        <v>266</v>
      </c>
      <c r="K32" s="2" t="s">
        <v>267</v>
      </c>
      <c r="L32" s="5" t="s">
        <v>268</v>
      </c>
      <c r="M32" s="5" t="s">
        <v>253</v>
      </c>
      <c r="N32" s="2" t="s">
        <v>29</v>
      </c>
      <c r="O32" s="2"/>
      <c r="P32" s="2"/>
      <c r="Q32" s="2"/>
    </row>
    <row r="33" customFormat="false" ht="45.75" hidden="false" customHeight="true" outlineLevel="0" collapsed="false">
      <c r="A33" s="2" t="n">
        <v>32</v>
      </c>
      <c r="B33" s="2" t="s">
        <v>260</v>
      </c>
      <c r="C33" s="2" t="s">
        <v>269</v>
      </c>
      <c r="D33" s="3" t="s">
        <v>270</v>
      </c>
      <c r="E33" s="2" t="s">
        <v>263</v>
      </c>
      <c r="F33" s="2" t="s">
        <v>271</v>
      </c>
      <c r="G33" s="2" t="s">
        <v>22</v>
      </c>
      <c r="H33" s="4" t="s">
        <v>23</v>
      </c>
      <c r="I33" s="2" t="s">
        <v>272</v>
      </c>
      <c r="J33" s="5" t="s">
        <v>273</v>
      </c>
      <c r="K33" s="2" t="s">
        <v>274</v>
      </c>
      <c r="L33" s="5" t="s">
        <v>275</v>
      </c>
      <c r="M33" s="5" t="s">
        <v>253</v>
      </c>
      <c r="N33" s="2" t="s">
        <v>29</v>
      </c>
      <c r="O33" s="2"/>
      <c r="P33" s="2"/>
      <c r="Q33" s="2"/>
    </row>
    <row r="34" customFormat="false" ht="45.75" hidden="false" customHeight="true" outlineLevel="0" collapsed="false">
      <c r="A34" s="2" t="n">
        <v>33</v>
      </c>
      <c r="B34" s="2" t="s">
        <v>260</v>
      </c>
      <c r="C34" s="2" t="s">
        <v>276</v>
      </c>
      <c r="D34" s="3" t="s">
        <v>277</v>
      </c>
      <c r="E34" s="2" t="s">
        <v>247</v>
      </c>
      <c r="F34" s="2" t="s">
        <v>278</v>
      </c>
      <c r="G34" s="2" t="s">
        <v>34</v>
      </c>
      <c r="H34" s="4" t="s">
        <v>23</v>
      </c>
      <c r="I34" s="2" t="s">
        <v>279</v>
      </c>
      <c r="J34" s="5" t="s">
        <v>280</v>
      </c>
      <c r="K34" s="2" t="s">
        <v>53</v>
      </c>
      <c r="L34" s="5" t="s">
        <v>281</v>
      </c>
      <c r="M34" s="5" t="s">
        <v>253</v>
      </c>
      <c r="N34" s="2" t="s">
        <v>29</v>
      </c>
      <c r="O34" s="2"/>
      <c r="P34" s="2"/>
      <c r="Q34" s="2"/>
    </row>
    <row r="35" customFormat="false" ht="45.75" hidden="false" customHeight="true" outlineLevel="0" collapsed="false">
      <c r="A35" s="2" t="n">
        <v>34</v>
      </c>
      <c r="B35" s="2" t="s">
        <v>260</v>
      </c>
      <c r="C35" s="2" t="s">
        <v>282</v>
      </c>
      <c r="D35" s="3" t="s">
        <v>283</v>
      </c>
      <c r="E35" s="2" t="s">
        <v>263</v>
      </c>
      <c r="F35" s="2" t="s">
        <v>284</v>
      </c>
      <c r="G35" s="2" t="s">
        <v>34</v>
      </c>
      <c r="H35" s="4" t="s">
        <v>23</v>
      </c>
      <c r="I35" s="2" t="s">
        <v>285</v>
      </c>
      <c r="J35" s="5" t="s">
        <v>286</v>
      </c>
      <c r="K35" s="2" t="s">
        <v>159</v>
      </c>
      <c r="L35" s="5" t="s">
        <v>287</v>
      </c>
      <c r="M35" s="5" t="s">
        <v>253</v>
      </c>
      <c r="N35" s="2" t="s">
        <v>29</v>
      </c>
      <c r="O35" s="2"/>
      <c r="P35" s="2"/>
      <c r="Q35" s="2"/>
    </row>
    <row r="36" customFormat="false" ht="45.75" hidden="false" customHeight="true" outlineLevel="0" collapsed="false">
      <c r="A36" s="2" t="n">
        <v>35</v>
      </c>
      <c r="B36" s="2" t="s">
        <v>260</v>
      </c>
      <c r="C36" s="2" t="s">
        <v>288</v>
      </c>
      <c r="D36" s="3" t="s">
        <v>289</v>
      </c>
      <c r="E36" s="2" t="s">
        <v>263</v>
      </c>
      <c r="F36" s="2" t="s">
        <v>290</v>
      </c>
      <c r="G36" s="2" t="s">
        <v>34</v>
      </c>
      <c r="H36" s="4" t="s">
        <v>23</v>
      </c>
      <c r="I36" s="2" t="s">
        <v>291</v>
      </c>
      <c r="J36" s="5" t="s">
        <v>292</v>
      </c>
      <c r="K36" s="2" t="s">
        <v>293</v>
      </c>
      <c r="L36" s="5" t="s">
        <v>294</v>
      </c>
      <c r="M36" s="5" t="s">
        <v>253</v>
      </c>
      <c r="N36" s="2" t="s">
        <v>29</v>
      </c>
      <c r="O36" s="2"/>
      <c r="P36" s="2"/>
      <c r="Q36" s="2"/>
    </row>
    <row r="37" customFormat="false" ht="45.75" hidden="false" customHeight="true" outlineLevel="0" collapsed="false">
      <c r="A37" s="2" t="n">
        <v>36</v>
      </c>
      <c r="B37" s="2" t="s">
        <v>260</v>
      </c>
      <c r="C37" s="2" t="s">
        <v>295</v>
      </c>
      <c r="D37" s="3" t="s">
        <v>296</v>
      </c>
      <c r="E37" s="2" t="s">
        <v>132</v>
      </c>
      <c r="F37" s="2" t="s">
        <v>297</v>
      </c>
      <c r="G37" s="2" t="s">
        <v>22</v>
      </c>
      <c r="H37" s="6" t="s">
        <v>298</v>
      </c>
      <c r="I37" s="2" t="s">
        <v>299</v>
      </c>
      <c r="J37" s="5" t="s">
        <v>300</v>
      </c>
      <c r="K37" s="2" t="s">
        <v>301</v>
      </c>
      <c r="L37" s="5" t="s">
        <v>302</v>
      </c>
      <c r="M37" s="5" t="s">
        <v>303</v>
      </c>
      <c r="N37" s="2" t="s">
        <v>29</v>
      </c>
      <c r="O37" s="2"/>
      <c r="P37" s="2"/>
      <c r="Q37" s="2"/>
    </row>
    <row r="38" customFormat="false" ht="45.75" hidden="false" customHeight="true" outlineLevel="0" collapsed="false">
      <c r="A38" s="2" t="n">
        <v>37</v>
      </c>
      <c r="B38" s="2" t="s">
        <v>260</v>
      </c>
      <c r="C38" s="2" t="s">
        <v>304</v>
      </c>
      <c r="D38" s="3" t="s">
        <v>305</v>
      </c>
      <c r="E38" s="2" t="s">
        <v>132</v>
      </c>
      <c r="F38" s="2" t="s">
        <v>306</v>
      </c>
      <c r="G38" s="2" t="s">
        <v>34</v>
      </c>
      <c r="H38" s="6" t="s">
        <v>298</v>
      </c>
      <c r="I38" s="2" t="s">
        <v>307</v>
      </c>
      <c r="J38" s="5" t="s">
        <v>308</v>
      </c>
      <c r="K38" s="2" t="s">
        <v>309</v>
      </c>
      <c r="L38" s="5" t="s">
        <v>310</v>
      </c>
      <c r="M38" s="5" t="s">
        <v>311</v>
      </c>
      <c r="N38" s="2" t="s">
        <v>29</v>
      </c>
      <c r="O38" s="2"/>
      <c r="P38" s="2"/>
      <c r="Q38" s="2"/>
    </row>
    <row r="39" customFormat="false" ht="45.75" hidden="false" customHeight="true" outlineLevel="0" collapsed="false">
      <c r="A39" s="2" t="n">
        <v>38</v>
      </c>
      <c r="B39" s="2" t="s">
        <v>260</v>
      </c>
      <c r="C39" s="2" t="s">
        <v>312</v>
      </c>
      <c r="D39" s="3" t="s">
        <v>313</v>
      </c>
      <c r="E39" s="2" t="s">
        <v>114</v>
      </c>
      <c r="F39" s="2" t="s">
        <v>314</v>
      </c>
      <c r="G39" s="2" t="s">
        <v>22</v>
      </c>
      <c r="H39" s="6" t="s">
        <v>298</v>
      </c>
      <c r="I39" s="2" t="s">
        <v>315</v>
      </c>
      <c r="J39" s="5" t="s">
        <v>316</v>
      </c>
      <c r="K39" s="2" t="s">
        <v>317</v>
      </c>
      <c r="L39" s="5" t="s">
        <v>318</v>
      </c>
      <c r="M39" s="5" t="s">
        <v>319</v>
      </c>
      <c r="N39" s="2" t="s">
        <v>29</v>
      </c>
      <c r="O39" s="2"/>
      <c r="P39" s="2"/>
      <c r="Q39" s="2"/>
    </row>
    <row r="40" customFormat="false" ht="45.75" hidden="false" customHeight="true" outlineLevel="0" collapsed="false">
      <c r="A40" s="2" t="n">
        <v>39</v>
      </c>
      <c r="B40" s="2" t="s">
        <v>260</v>
      </c>
      <c r="C40" s="2" t="s">
        <v>320</v>
      </c>
      <c r="D40" s="3" t="s">
        <v>321</v>
      </c>
      <c r="E40" s="2" t="s">
        <v>132</v>
      </c>
      <c r="F40" s="2" t="s">
        <v>322</v>
      </c>
      <c r="G40" s="2" t="s">
        <v>34</v>
      </c>
      <c r="H40" s="6" t="s">
        <v>298</v>
      </c>
      <c r="I40" s="2" t="s">
        <v>323</v>
      </c>
      <c r="J40" s="5" t="s">
        <v>53</v>
      </c>
      <c r="K40" s="2" t="s">
        <v>324</v>
      </c>
      <c r="L40" s="5" t="s">
        <v>325</v>
      </c>
      <c r="M40" s="5" t="s">
        <v>326</v>
      </c>
      <c r="N40" s="2" t="s">
        <v>29</v>
      </c>
      <c r="O40" s="2"/>
      <c r="P40" s="2"/>
      <c r="Q40" s="2"/>
    </row>
    <row r="41" customFormat="false" ht="45.75" hidden="false" customHeight="true" outlineLevel="0" collapsed="false">
      <c r="A41" s="2" t="n">
        <v>40</v>
      </c>
      <c r="B41" s="2" t="s">
        <v>260</v>
      </c>
      <c r="C41" s="2" t="s">
        <v>327</v>
      </c>
      <c r="D41" s="3" t="s">
        <v>328</v>
      </c>
      <c r="E41" s="2" t="s">
        <v>42</v>
      </c>
      <c r="F41" s="2" t="s">
        <v>329</v>
      </c>
      <c r="G41" s="2" t="s">
        <v>34</v>
      </c>
      <c r="H41" s="6" t="s">
        <v>298</v>
      </c>
      <c r="I41" s="2" t="s">
        <v>330</v>
      </c>
      <c r="J41" s="5" t="s">
        <v>53</v>
      </c>
      <c r="K41" s="2" t="s">
        <v>331</v>
      </c>
      <c r="L41" s="5" t="s">
        <v>332</v>
      </c>
      <c r="M41" s="5" t="s">
        <v>333</v>
      </c>
      <c r="N41" s="2" t="s">
        <v>29</v>
      </c>
      <c r="O41" s="2"/>
      <c r="P41" s="2"/>
      <c r="Q41" s="2"/>
    </row>
    <row r="42" customFormat="false" ht="45.75" hidden="false" customHeight="true" outlineLevel="0" collapsed="false">
      <c r="A42" s="2" t="n">
        <v>41</v>
      </c>
      <c r="B42" s="2" t="s">
        <v>334</v>
      </c>
      <c r="C42" s="2" t="s">
        <v>335</v>
      </c>
      <c r="D42" s="3" t="s">
        <v>336</v>
      </c>
      <c r="E42" s="2" t="s">
        <v>32</v>
      </c>
      <c r="F42" s="2" t="s">
        <v>337</v>
      </c>
      <c r="G42" s="2" t="s">
        <v>34</v>
      </c>
      <c r="H42" s="6" t="s">
        <v>298</v>
      </c>
      <c r="I42" s="2" t="s">
        <v>338</v>
      </c>
      <c r="J42" s="5" t="s">
        <v>53</v>
      </c>
      <c r="K42" s="2" t="s">
        <v>339</v>
      </c>
      <c r="L42" s="5" t="s">
        <v>340</v>
      </c>
      <c r="M42" s="5" t="s">
        <v>341</v>
      </c>
      <c r="N42" s="2" t="s">
        <v>29</v>
      </c>
      <c r="O42" s="2"/>
      <c r="P42" s="2"/>
      <c r="Q42" s="2"/>
    </row>
    <row r="43" customFormat="false" ht="45.75" hidden="false" customHeight="true" outlineLevel="0" collapsed="false">
      <c r="A43" s="2" t="n">
        <v>42</v>
      </c>
      <c r="B43" s="2" t="s">
        <v>334</v>
      </c>
      <c r="C43" s="2" t="s">
        <v>342</v>
      </c>
      <c r="D43" s="3" t="s">
        <v>343</v>
      </c>
      <c r="E43" s="2" t="s">
        <v>114</v>
      </c>
      <c r="F43" s="2" t="s">
        <v>344</v>
      </c>
      <c r="G43" s="2" t="s">
        <v>34</v>
      </c>
      <c r="H43" s="6" t="s">
        <v>298</v>
      </c>
      <c r="I43" s="2" t="s">
        <v>345</v>
      </c>
      <c r="J43" s="5" t="s">
        <v>346</v>
      </c>
      <c r="K43" s="2" t="s">
        <v>347</v>
      </c>
      <c r="L43" s="5" t="s">
        <v>348</v>
      </c>
      <c r="M43" s="5" t="s">
        <v>349</v>
      </c>
      <c r="N43" s="2" t="s">
        <v>29</v>
      </c>
      <c r="O43" s="2"/>
      <c r="P43" s="2"/>
      <c r="Q43" s="2"/>
    </row>
    <row r="44" customFormat="false" ht="45.75" hidden="false" customHeight="true" outlineLevel="0" collapsed="false">
      <c r="A44" s="2" t="n">
        <v>43</v>
      </c>
      <c r="B44" s="2" t="s">
        <v>334</v>
      </c>
      <c r="C44" s="2" t="s">
        <v>350</v>
      </c>
      <c r="D44" s="3" t="s">
        <v>351</v>
      </c>
      <c r="E44" s="2" t="s">
        <v>114</v>
      </c>
      <c r="F44" s="2" t="s">
        <v>352</v>
      </c>
      <c r="G44" s="2" t="s">
        <v>34</v>
      </c>
      <c r="H44" s="6" t="s">
        <v>298</v>
      </c>
      <c r="I44" s="2" t="s">
        <v>353</v>
      </c>
      <c r="J44" s="5" t="s">
        <v>354</v>
      </c>
      <c r="K44" s="2" t="s">
        <v>355</v>
      </c>
      <c r="L44" s="5" t="s">
        <v>356</v>
      </c>
      <c r="M44" s="5" t="s">
        <v>357</v>
      </c>
      <c r="N44" s="2" t="s">
        <v>29</v>
      </c>
      <c r="O44" s="2"/>
      <c r="P44" s="2"/>
      <c r="Q44" s="2"/>
    </row>
    <row r="45" customFormat="false" ht="45.75" hidden="false" customHeight="true" outlineLevel="0" collapsed="false">
      <c r="A45" s="2" t="n">
        <v>44</v>
      </c>
      <c r="B45" s="2" t="s">
        <v>334</v>
      </c>
      <c r="C45" s="2" t="s">
        <v>358</v>
      </c>
      <c r="D45" s="3" t="s">
        <v>359</v>
      </c>
      <c r="E45" s="2" t="s">
        <v>114</v>
      </c>
      <c r="F45" s="2" t="s">
        <v>360</v>
      </c>
      <c r="G45" s="2" t="s">
        <v>34</v>
      </c>
      <c r="H45" s="6" t="s">
        <v>298</v>
      </c>
      <c r="I45" s="2" t="s">
        <v>361</v>
      </c>
      <c r="J45" s="5" t="s">
        <v>362</v>
      </c>
      <c r="K45" s="2" t="s">
        <v>159</v>
      </c>
      <c r="L45" s="5" t="s">
        <v>363</v>
      </c>
      <c r="M45" s="5" t="s">
        <v>364</v>
      </c>
      <c r="N45" s="2" t="s">
        <v>29</v>
      </c>
      <c r="O45" s="2"/>
      <c r="P45" s="2"/>
      <c r="Q45" s="2"/>
    </row>
    <row r="46" customFormat="false" ht="45.75" hidden="false" customHeight="true" outlineLevel="0" collapsed="false">
      <c r="A46" s="2" t="n">
        <v>45</v>
      </c>
      <c r="B46" s="2" t="s">
        <v>334</v>
      </c>
      <c r="C46" s="2" t="s">
        <v>365</v>
      </c>
      <c r="D46" s="3" t="s">
        <v>366</v>
      </c>
      <c r="E46" s="2" t="s">
        <v>114</v>
      </c>
      <c r="F46" s="2" t="s">
        <v>367</v>
      </c>
      <c r="G46" s="2" t="s">
        <v>34</v>
      </c>
      <c r="H46" s="6" t="s">
        <v>298</v>
      </c>
      <c r="I46" s="2" t="s">
        <v>368</v>
      </c>
      <c r="J46" s="5" t="s">
        <v>53</v>
      </c>
      <c r="K46" s="2" t="s">
        <v>369</v>
      </c>
      <c r="L46" s="5" t="s">
        <v>370</v>
      </c>
      <c r="M46" s="5" t="s">
        <v>371</v>
      </c>
      <c r="N46" s="2" t="s">
        <v>29</v>
      </c>
      <c r="O46" s="2"/>
      <c r="P46" s="2"/>
      <c r="Q46" s="2"/>
    </row>
    <row r="47" customFormat="false" ht="45.75" hidden="false" customHeight="true" outlineLevel="0" collapsed="false">
      <c r="A47" s="2" t="n">
        <v>46</v>
      </c>
      <c r="B47" s="2" t="s">
        <v>334</v>
      </c>
      <c r="C47" s="2" t="s">
        <v>372</v>
      </c>
      <c r="D47" s="3" t="s">
        <v>373</v>
      </c>
      <c r="E47" s="2" t="s">
        <v>114</v>
      </c>
      <c r="F47" s="2" t="s">
        <v>374</v>
      </c>
      <c r="G47" s="2" t="s">
        <v>34</v>
      </c>
      <c r="H47" s="6" t="s">
        <v>298</v>
      </c>
      <c r="I47" s="2" t="s">
        <v>375</v>
      </c>
      <c r="J47" s="5" t="s">
        <v>376</v>
      </c>
      <c r="K47" s="2" t="s">
        <v>377</v>
      </c>
      <c r="L47" s="5" t="s">
        <v>378</v>
      </c>
      <c r="M47" s="5" t="s">
        <v>379</v>
      </c>
      <c r="N47" s="2" t="s">
        <v>29</v>
      </c>
      <c r="O47" s="2"/>
      <c r="P47" s="2"/>
      <c r="Q47" s="2"/>
    </row>
    <row r="48" customFormat="false" ht="45.75" hidden="false" customHeight="true" outlineLevel="0" collapsed="false">
      <c r="A48" s="2" t="n">
        <v>47</v>
      </c>
      <c r="B48" s="2" t="s">
        <v>334</v>
      </c>
      <c r="C48" s="2" t="s">
        <v>380</v>
      </c>
      <c r="D48" s="3" t="s">
        <v>381</v>
      </c>
      <c r="E48" s="2" t="s">
        <v>123</v>
      </c>
      <c r="F48" s="2" t="s">
        <v>382</v>
      </c>
      <c r="G48" s="2" t="s">
        <v>34</v>
      </c>
      <c r="H48" s="6" t="s">
        <v>298</v>
      </c>
      <c r="I48" s="2" t="s">
        <v>383</v>
      </c>
      <c r="J48" s="5" t="s">
        <v>384</v>
      </c>
      <c r="K48" s="2" t="s">
        <v>53</v>
      </c>
      <c r="L48" s="5" t="s">
        <v>385</v>
      </c>
      <c r="M48" s="5" t="s">
        <v>386</v>
      </c>
      <c r="N48" s="2" t="s">
        <v>29</v>
      </c>
      <c r="O48" s="2"/>
      <c r="P48" s="2"/>
      <c r="Q48" s="2"/>
    </row>
    <row r="49" customFormat="false" ht="45.75" hidden="false" customHeight="true" outlineLevel="0" collapsed="false">
      <c r="A49" s="2" t="n">
        <v>48</v>
      </c>
      <c r="B49" s="2" t="s">
        <v>334</v>
      </c>
      <c r="C49" s="2" t="s">
        <v>387</v>
      </c>
      <c r="D49" s="3" t="s">
        <v>388</v>
      </c>
      <c r="E49" s="2" t="s">
        <v>263</v>
      </c>
      <c r="F49" s="2" t="s">
        <v>389</v>
      </c>
      <c r="G49" s="2" t="s">
        <v>34</v>
      </c>
      <c r="H49" s="6" t="s">
        <v>298</v>
      </c>
      <c r="I49" s="2" t="s">
        <v>390</v>
      </c>
      <c r="J49" s="5" t="s">
        <v>391</v>
      </c>
      <c r="K49" s="2" t="s">
        <v>392</v>
      </c>
      <c r="L49" s="5" t="s">
        <v>393</v>
      </c>
      <c r="M49" s="5" t="s">
        <v>253</v>
      </c>
      <c r="N49" s="2" t="s">
        <v>29</v>
      </c>
      <c r="O49" s="2"/>
      <c r="P49" s="2"/>
      <c r="Q49" s="2"/>
    </row>
    <row r="50" customFormat="false" ht="45.75" hidden="false" customHeight="true" outlineLevel="0" collapsed="false">
      <c r="A50" s="2" t="n">
        <v>49</v>
      </c>
      <c r="B50" s="2" t="s">
        <v>334</v>
      </c>
      <c r="C50" s="2" t="s">
        <v>394</v>
      </c>
      <c r="D50" s="3" t="s">
        <v>395</v>
      </c>
      <c r="E50" s="2" t="s">
        <v>247</v>
      </c>
      <c r="F50" s="2" t="s">
        <v>396</v>
      </c>
      <c r="G50" s="2" t="s">
        <v>22</v>
      </c>
      <c r="H50" s="6" t="s">
        <v>298</v>
      </c>
      <c r="I50" s="2" t="s">
        <v>397</v>
      </c>
      <c r="J50" s="5" t="s">
        <v>53</v>
      </c>
      <c r="K50" s="2" t="s">
        <v>53</v>
      </c>
      <c r="L50" s="5" t="s">
        <v>398</v>
      </c>
      <c r="M50" s="5" t="s">
        <v>253</v>
      </c>
      <c r="N50" s="2" t="s">
        <v>29</v>
      </c>
      <c r="O50" s="2"/>
      <c r="P50" s="2"/>
      <c r="Q50" s="2"/>
    </row>
    <row r="51" customFormat="false" ht="45.75" hidden="false" customHeight="true" outlineLevel="0" collapsed="false">
      <c r="A51" s="2" t="n">
        <v>50</v>
      </c>
      <c r="B51" s="2" t="s">
        <v>334</v>
      </c>
      <c r="C51" s="2" t="s">
        <v>399</v>
      </c>
      <c r="D51" s="3" t="s">
        <v>400</v>
      </c>
      <c r="E51" s="2" t="s">
        <v>247</v>
      </c>
      <c r="F51" s="2" t="s">
        <v>401</v>
      </c>
      <c r="G51" s="2" t="s">
        <v>34</v>
      </c>
      <c r="H51" s="6" t="s">
        <v>298</v>
      </c>
      <c r="I51" s="2" t="s">
        <v>402</v>
      </c>
      <c r="J51" s="5" t="s">
        <v>403</v>
      </c>
      <c r="K51" s="2" t="s">
        <v>404</v>
      </c>
      <c r="L51" s="5" t="s">
        <v>405</v>
      </c>
      <c r="M51" s="5" t="s">
        <v>253</v>
      </c>
      <c r="N51" s="2" t="s">
        <v>29</v>
      </c>
      <c r="O51" s="2"/>
      <c r="P51" s="2"/>
      <c r="Q51" s="2"/>
    </row>
    <row r="52" customFormat="false" ht="45.75" hidden="false" customHeight="true" outlineLevel="0" collapsed="false">
      <c r="A52" s="2" t="n">
        <v>51</v>
      </c>
      <c r="B52" s="2" t="s">
        <v>406</v>
      </c>
      <c r="C52" s="2" t="s">
        <v>407</v>
      </c>
      <c r="D52" s="3" t="s">
        <v>408</v>
      </c>
      <c r="E52" s="2" t="s">
        <v>247</v>
      </c>
      <c r="F52" s="2" t="s">
        <v>409</v>
      </c>
      <c r="G52" s="2" t="s">
        <v>22</v>
      </c>
      <c r="H52" s="6" t="s">
        <v>298</v>
      </c>
      <c r="I52" s="2" t="s">
        <v>410</v>
      </c>
      <c r="J52" s="5" t="s">
        <v>53</v>
      </c>
      <c r="K52" s="2" t="s">
        <v>411</v>
      </c>
      <c r="L52" s="5" t="s">
        <v>412</v>
      </c>
      <c r="M52" s="5" t="s">
        <v>253</v>
      </c>
      <c r="N52" s="2" t="s">
        <v>29</v>
      </c>
      <c r="O52" s="2"/>
      <c r="P52" s="2"/>
      <c r="Q52" s="2"/>
    </row>
    <row r="53" customFormat="false" ht="45.75" hidden="false" customHeight="true" outlineLevel="0" collapsed="false">
      <c r="A53" s="2" t="n">
        <v>52</v>
      </c>
      <c r="B53" s="2" t="s">
        <v>406</v>
      </c>
      <c r="C53" s="2" t="s">
        <v>413</v>
      </c>
      <c r="D53" s="3" t="s">
        <v>414</v>
      </c>
      <c r="E53" s="2" t="s">
        <v>114</v>
      </c>
      <c r="F53" s="2" t="s">
        <v>415</v>
      </c>
      <c r="G53" s="2" t="s">
        <v>34</v>
      </c>
      <c r="H53" s="6" t="s">
        <v>298</v>
      </c>
      <c r="I53" s="2" t="s">
        <v>416</v>
      </c>
      <c r="J53" s="5" t="s">
        <v>53</v>
      </c>
      <c r="K53" s="2" t="s">
        <v>417</v>
      </c>
      <c r="L53" s="5" t="s">
        <v>418</v>
      </c>
      <c r="M53" s="5" t="s">
        <v>253</v>
      </c>
      <c r="N53" s="2" t="s">
        <v>29</v>
      </c>
      <c r="O53" s="2"/>
      <c r="P53" s="2"/>
      <c r="Q53" s="2"/>
    </row>
    <row r="54" customFormat="false" ht="45.75" hidden="false" customHeight="true" outlineLevel="0" collapsed="false">
      <c r="A54" s="2" t="n">
        <v>53</v>
      </c>
      <c r="B54" s="2" t="s">
        <v>406</v>
      </c>
      <c r="C54" s="2" t="s">
        <v>419</v>
      </c>
      <c r="D54" s="3" t="s">
        <v>420</v>
      </c>
      <c r="E54" s="2" t="s">
        <v>247</v>
      </c>
      <c r="F54" s="2" t="s">
        <v>421</v>
      </c>
      <c r="G54" s="2" t="s">
        <v>22</v>
      </c>
      <c r="H54" s="7" t="s">
        <v>422</v>
      </c>
      <c r="I54" s="2" t="s">
        <v>53</v>
      </c>
      <c r="J54" s="5" t="s">
        <v>423</v>
      </c>
      <c r="K54" s="2" t="s">
        <v>53</v>
      </c>
      <c r="L54" s="5" t="s">
        <v>424</v>
      </c>
      <c r="M54" s="5" t="s">
        <v>253</v>
      </c>
      <c r="N54" s="2" t="s">
        <v>29</v>
      </c>
      <c r="O54" s="2"/>
      <c r="P54" s="2"/>
      <c r="Q54" s="2"/>
    </row>
  </sheetData>
  <autoFilter ref="A1:Q54"/>
  <dataValidations count="2">
    <dataValidation allowBlank="true" errorStyle="stop" operator="between" showDropDown="false" showErrorMessage="false" showInputMessage="false" sqref="N2:N54" type="list">
      <formula1>"Nog niet benaderd,Demo gemaakt,E-mail verstuurd,LinkedIn verstuurd,DM verstuurd,Follow-up verstuurd,Reactie ontvangen,Gesprek gepland,App geinstalleerd,Betalend,Afgewezen"</formula1>
      <formula2>0</formula2>
    </dataValidation>
    <dataValidation allowBlank="true" errorStyle="stop" operator="between" showDropDown="false" showErrorMessage="false" showInputMessage="false" sqref="P2:P54" type="list">
      <formula1>"Geen,Positief,Neutraal,Negatief,Afwezig"</formula1>
      <formula2>0</formula2>
    </dataValidation>
  </dataValidations>
  <hyperlinks>
    <hyperlink ref="D2" r:id="rId1" display="https://www.superbra.nl"/>
    <hyperlink ref="D3" r:id="rId2" display="https://viadigioia.com"/>
    <hyperlink ref="D4" r:id="rId3" display="https://yoek.nl"/>
    <hyperlink ref="D5" r:id="rId4" display="https://www.cyell.com"/>
    <hyperlink ref="D6" r:id="rId5" display="https://exxcellent.nl"/>
    <hyperlink ref="D7" r:id="rId6" display="https://savaraintimates.com"/>
    <hyperlink ref="D8" r:id="rId7" display="https://www.pavocouture.nl"/>
    <hyperlink ref="D9" r:id="rId8" display="https://wallien.com"/>
    <hyperlink ref="D10" r:id="rId9" display="https://billieswim.com"/>
    <hyperlink ref="D11" r:id="rId10" display="https://ayalabel.com"/>
    <hyperlink ref="D12" r:id="rId11" display="https://augustineamsterdam.com"/>
    <hyperlink ref="D13" r:id="rId12" display="https://www.gutsy.fashion"/>
    <hyperlink ref="D14" r:id="rId13" display="https://www.dressesboutique.nl"/>
    <hyperlink ref="D15" r:id="rId14" display="https://www.dutchfashiondesign.nl"/>
    <hyperlink ref="D16" r:id="rId15" display="https://mudjeans.com"/>
    <hyperlink ref="D17" r:id="rId16" display="https://www.kinglouie.nl"/>
    <hyperlink ref="D18" r:id="rId17" display="https://www.kingsofindigo.com"/>
    <hyperlink ref="D19" r:id="rId18" display="https://www.colourfulrebel.com"/>
    <hyperlink ref="D20" r:id="rId19" display="https://www.fabiennechapot.com"/>
    <hyperlink ref="D21" r:id="rId20" display="https://www.refineddepartment.com"/>
    <hyperlink ref="D22" r:id="rId21" display="https://www.loftymanner.com"/>
    <hyperlink ref="D23" r:id="rId22" display="https://www.catwalkjunkie.com"/>
    <hyperlink ref="D24" r:id="rId23" display="https://www.janelushka.com"/>
    <hyperlink ref="D25" r:id="rId24" display="https://nukus.nl"/>
    <hyperlink ref="D26" r:id="rId25" display="https://www.ydence.com"/>
    <hyperlink ref="D27" r:id="rId26" display="https://www.another-label.com"/>
    <hyperlink ref="D28" r:id="rId27" display="https://www.aaiko.com"/>
    <hyperlink ref="D29" r:id="rId28" display="https://charliemary.com"/>
    <hyperlink ref="D30" r:id="rId29" display="https://dailypaperclothing.com"/>
    <hyperlink ref="D31" r:id="rId30" display="https://theneworiginals.eu"/>
    <hyperlink ref="D32" r:id="rId31" display="https://olafhussein.com"/>
    <hyperlink ref="D33" r:id="rId32" display="https://flaneur.eu"/>
    <hyperlink ref="D34" r:id="rId33" display="https://lackofguidance.com"/>
    <hyperlink ref="D35" r:id="rId34" display="https://bramsfruit.com"/>
    <hyperlink ref="D36" r:id="rId35" display="https://ingoldwetrust-official.com"/>
    <hyperlink ref="D37" r:id="rId36" display="https://www.zusss.nl"/>
    <hyperlink ref="D38" r:id="rId37" display="https://bylotte.nl"/>
    <hyperlink ref="D39" r:id="rId38" display="https://www.sophiestone.nl"/>
    <hyperlink ref="D40" r:id="rId39" display="https://bij-keesje.nl"/>
    <hyperlink ref="D41" r:id="rId40" display="https://modezza.nl"/>
    <hyperlink ref="D42" r:id="rId41" display="https://tetresponsiblewear.com"/>
    <hyperlink ref="D43" r:id="rId42" display="https://theknitwitstable.nl"/>
    <hyperlink ref="D44" r:id="rId43" display="https://theworldofzazi.com"/>
    <hyperlink ref="D45" r:id="rId44" display="https://allthingsmochi.com"/>
    <hyperlink ref="D46" r:id="rId45" display="https://nou-menon.com"/>
    <hyperlink ref="D47" r:id="rId46" display="https://www.natur-el.nl"/>
    <hyperlink ref="D48" r:id="rId47" display="https://wildatheartbridal.nl"/>
    <hyperlink ref="D49" r:id="rId48" display="https://bleedingindigo.com"/>
    <hyperlink ref="D50" r:id="rId49" display="https://patta.nl"/>
    <hyperlink ref="D51" r:id="rId50" display="https://byparra.com"/>
    <hyperlink ref="D52" r:id="rId51" display="https://fouramsterdam.com"/>
    <hyperlink ref="D53" r:id="rId52" display="https://veld.com"/>
    <hyperlink ref="D54" r:id="rId53" display="https://fillingpieces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</cols>
  <sheetData>
    <row r="1" customFormat="false" ht="19.7" hidden="false" customHeight="false" outlineLevel="0" collapsed="false">
      <c r="A1" s="8" t="s">
        <v>425</v>
      </c>
    </row>
    <row r="2" customFormat="false" ht="15" hidden="false" customHeight="false" outlineLevel="0" collapsed="false">
      <c r="A2" s="9" t="s">
        <v>426</v>
      </c>
    </row>
    <row r="4" customFormat="false" ht="15" hidden="false" customHeight="false" outlineLevel="0" collapsed="false">
      <c r="A4" s="10" t="s">
        <v>427</v>
      </c>
      <c r="B4" s="11"/>
    </row>
    <row r="5" customFormat="false" ht="15" hidden="false" customHeight="false" outlineLevel="0" collapsed="false">
      <c r="A5" s="12" t="s">
        <v>428</v>
      </c>
      <c r="B5" s="13" t="n">
        <f aca="false">COUNTA(Winkellijst!C2:C54)</f>
        <v>53</v>
      </c>
    </row>
    <row r="6" customFormat="false" ht="15" hidden="false" customHeight="false" outlineLevel="0" collapsed="false">
      <c r="A6" s="12" t="s">
        <v>429</v>
      </c>
      <c r="B6" s="13" t="n">
        <f aca="false">COUNTIF(Winkellijst!N2:N54,"&lt;&gt;Nog niet benaderd")-COUNTBLANK(Winkellijst!N2:N54)</f>
        <v>0</v>
      </c>
    </row>
    <row r="7" customFormat="false" ht="15" hidden="false" customHeight="false" outlineLevel="0" collapsed="false">
      <c r="A7" s="12" t="s">
        <v>29</v>
      </c>
      <c r="B7" s="13" t="n">
        <f aca="false">COUNTIF(Winkellijst!N2:N54,"Nog niet benaderd")</f>
        <v>53</v>
      </c>
    </row>
    <row r="8" customFormat="false" ht="15" hidden="false" customHeight="false" outlineLevel="0" collapsed="false">
      <c r="A8" s="12" t="s">
        <v>430</v>
      </c>
      <c r="B8" s="13" t="n">
        <f aca="false">COUNTIF(Winkellijst!N2:N54,"Demo gemaakt")</f>
        <v>0</v>
      </c>
    </row>
    <row r="9" customFormat="false" ht="15" hidden="false" customHeight="false" outlineLevel="0" collapsed="false">
      <c r="A9" s="12" t="s">
        <v>431</v>
      </c>
      <c r="B9" s="13" t="n">
        <f aca="false">COUNTIF(Winkellijst!N2:N54,"E-mail verstuurd")</f>
        <v>0</v>
      </c>
    </row>
    <row r="10" customFormat="false" ht="15" hidden="false" customHeight="false" outlineLevel="0" collapsed="false">
      <c r="A10" s="12" t="s">
        <v>432</v>
      </c>
      <c r="B10" s="13" t="n">
        <f aca="false">COUNTIF(Winkellijst!N2:N54,"Reactie ontvangen")</f>
        <v>0</v>
      </c>
    </row>
    <row r="11" customFormat="false" ht="15" hidden="false" customHeight="false" outlineLevel="0" collapsed="false">
      <c r="A11" s="12" t="s">
        <v>433</v>
      </c>
      <c r="B11" s="13" t="n">
        <f aca="false">COUNTIF(Winkellijst!N2:N54,"Gesprek gepland")</f>
        <v>0</v>
      </c>
    </row>
    <row r="12" customFormat="false" ht="15" hidden="false" customHeight="false" outlineLevel="0" collapsed="false">
      <c r="A12" s="12" t="s">
        <v>434</v>
      </c>
      <c r="B12" s="13" t="n">
        <f aca="false">COUNTIF(Winkellijst!N2:N54,"App geinstalleerd")</f>
        <v>0</v>
      </c>
    </row>
    <row r="13" customFormat="false" ht="15" hidden="false" customHeight="false" outlineLevel="0" collapsed="false">
      <c r="A13" s="12" t="s">
        <v>435</v>
      </c>
      <c r="B13" s="13" t="n">
        <f aca="false">COUNTIF(Winkellijst!N2:N54,"Betalend")</f>
        <v>0</v>
      </c>
    </row>
    <row r="14" customFormat="false" ht="15" hidden="false" customHeight="false" outlineLevel="0" collapsed="false">
      <c r="A14" s="12" t="s">
        <v>436</v>
      </c>
      <c r="B14" s="14" t="n">
        <f aca="false">IFERROR(COUNTIF(Winkellijst!P2:P54,"Positief")/MAX(1,COUNTIF(Winkellijst!N2:N54,"E-mail verstuurd")),0)</f>
        <v>0</v>
      </c>
    </row>
    <row r="16" customFormat="false" ht="15" hidden="false" customHeight="false" outlineLevel="0" collapsed="false">
      <c r="A16" s="10" t="s">
        <v>437</v>
      </c>
      <c r="B16" s="11"/>
    </row>
    <row r="17" customFormat="false" ht="15" hidden="false" customHeight="false" outlineLevel="0" collapsed="false">
      <c r="A17" s="12" t="s">
        <v>438</v>
      </c>
      <c r="B17" s="13" t="n">
        <f aca="false">COUNTIF(Winkellijst!H2:H54,"A")</f>
        <v>35</v>
      </c>
    </row>
    <row r="18" customFormat="false" ht="15" hidden="false" customHeight="false" outlineLevel="0" collapsed="false">
      <c r="A18" s="12" t="s">
        <v>439</v>
      </c>
      <c r="B18" s="13" t="n">
        <f aca="false">COUNTIF(Winkellijst!H2:H54,"B")</f>
        <v>17</v>
      </c>
    </row>
    <row r="19" customFormat="false" ht="15" hidden="false" customHeight="false" outlineLevel="0" collapsed="false">
      <c r="A19" s="12" t="s">
        <v>440</v>
      </c>
      <c r="B19" s="13" t="n">
        <f aca="false">COUNTIF(Winkellijst!H2:H54,"C")</f>
        <v>1</v>
      </c>
    </row>
    <row r="21" customFormat="false" ht="15" hidden="false" customHeight="false" outlineLevel="0" collapsed="false">
      <c r="A21" s="10" t="s">
        <v>441</v>
      </c>
      <c r="B21" s="11"/>
    </row>
    <row r="22" customFormat="false" ht="15" hidden="false" customHeight="false" outlineLevel="0" collapsed="false">
      <c r="A22" s="12" t="s">
        <v>132</v>
      </c>
      <c r="B22" s="13" t="n">
        <f aca="false">COUNTIF(Winkellijst!E2:E54,"Damesmode")</f>
        <v>15</v>
      </c>
    </row>
    <row r="23" customFormat="false" ht="15" hidden="false" customHeight="false" outlineLevel="0" collapsed="false">
      <c r="A23" s="12" t="s">
        <v>114</v>
      </c>
      <c r="B23" s="13" t="n">
        <f aca="false">COUNTIF(Winkellijst!E2:E54,"Duurzaam")</f>
        <v>11</v>
      </c>
    </row>
    <row r="24" customFormat="false" ht="15" hidden="false" customHeight="false" outlineLevel="0" collapsed="false">
      <c r="A24" s="12" t="s">
        <v>32</v>
      </c>
      <c r="B24" s="13" t="n">
        <f aca="false">COUNTIF(Winkellijst!E2:E54,"Badmode")</f>
        <v>7</v>
      </c>
    </row>
    <row r="25" customFormat="false" ht="15" hidden="false" customHeight="false" outlineLevel="0" collapsed="false">
      <c r="A25" s="12" t="s">
        <v>247</v>
      </c>
      <c r="B25" s="13" t="n">
        <f aca="false">COUNTIF(Winkellijst!E2:E54,"Streetwear")</f>
        <v>7</v>
      </c>
    </row>
    <row r="26" customFormat="false" ht="15" hidden="false" customHeight="false" outlineLevel="0" collapsed="false">
      <c r="A26" s="12" t="s">
        <v>263</v>
      </c>
      <c r="B26" s="13" t="n">
        <f aca="false">COUNTIF(Winkellijst!E2:E54,"Herenmode")</f>
        <v>5</v>
      </c>
    </row>
    <row r="27" customFormat="false" ht="15" hidden="false" customHeight="false" outlineLevel="0" collapsed="false">
      <c r="A27" s="12" t="s">
        <v>20</v>
      </c>
      <c r="B27" s="13" t="n">
        <f aca="false">COUNTIF(Winkellijst!E2:E54,"Lingerie")</f>
        <v>3</v>
      </c>
    </row>
    <row r="28" customFormat="false" ht="15" hidden="false" customHeight="false" outlineLevel="0" collapsed="false">
      <c r="A28" s="12" t="s">
        <v>42</v>
      </c>
      <c r="B28" s="13" t="n">
        <f aca="false">COUNTIF(Winkellijst!E2:E54,"Plus-size")</f>
        <v>3</v>
      </c>
    </row>
    <row r="29" customFormat="false" ht="15" hidden="false" customHeight="false" outlineLevel="0" collapsed="false">
      <c r="A29" s="12" t="s">
        <v>123</v>
      </c>
      <c r="B29" s="13" t="n">
        <f aca="false">COUNTIF(Winkellijst!E2:E54,"Gelegenheid")</f>
        <v>2</v>
      </c>
    </row>
    <row r="31" customFormat="false" ht="15" hidden="false" customHeight="false" outlineLevel="0" collapsed="false">
      <c r="A31" s="10" t="s">
        <v>442</v>
      </c>
      <c r="B31" s="11"/>
    </row>
    <row r="32" customFormat="false" ht="15" hidden="false" customHeight="false" outlineLevel="0" collapsed="false">
      <c r="A32" s="12" t="s">
        <v>443</v>
      </c>
      <c r="B32" s="13" t="n">
        <f aca="false">COUNTA(Winkellijst!K2:K54)-COUNTIF(Winkellijst!K2:K54,"onbekend*")</f>
        <v>40</v>
      </c>
    </row>
    <row r="33" customFormat="false" ht="15" hidden="false" customHeight="false" outlineLevel="0" collapsed="false">
      <c r="A33" s="12" t="s">
        <v>444</v>
      </c>
      <c r="B33" s="13" t="n">
        <f aca="false">COUNTA(Winkellijst!J2:J54)-COUNTIF(Winkellijst!J2:J54,"onbekend*")</f>
        <v>36</v>
      </c>
    </row>
    <row r="34" customFormat="false" ht="15" hidden="false" customHeight="false" outlineLevel="0" collapsed="false">
      <c r="A34" s="12" t="s">
        <v>445</v>
      </c>
      <c r="B34" s="13" t="n">
        <f aca="false">COUNTA(Winkellijst!I2:I54)-COUNTIF(Winkellijst!I2:I54,"onbekend*")</f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36"/>
    <col collapsed="false" customWidth="true" hidden="false" outlineLevel="0" max="4" min="4" style="0" width="34"/>
  </cols>
  <sheetData>
    <row r="1" customFormat="false" ht="15" hidden="false" customHeight="false" outlineLevel="0" collapsed="false">
      <c r="A1" s="15" t="s">
        <v>446</v>
      </c>
    </row>
    <row r="3" customFormat="false" ht="30" hidden="false" customHeight="true" outlineLevel="0" collapsed="false">
      <c r="A3" s="1" t="s">
        <v>0</v>
      </c>
      <c r="B3" s="1" t="s">
        <v>2</v>
      </c>
      <c r="C3" s="1" t="s">
        <v>3</v>
      </c>
      <c r="D3" s="1" t="s">
        <v>4</v>
      </c>
    </row>
    <row r="4" customFormat="false" ht="15" hidden="false" customHeight="false" outlineLevel="0" collapsed="false">
      <c r="A4" s="16" t="n">
        <v>1</v>
      </c>
      <c r="B4" s="16" t="s">
        <v>447</v>
      </c>
      <c r="C4" s="16" t="s">
        <v>448</v>
      </c>
      <c r="D4" s="16" t="s">
        <v>132</v>
      </c>
    </row>
    <row r="5" customFormat="false" ht="15" hidden="false" customHeight="false" outlineLevel="0" collapsed="false">
      <c r="A5" s="16" t="n">
        <v>2</v>
      </c>
      <c r="B5" s="16" t="s">
        <v>449</v>
      </c>
      <c r="C5" s="16" t="s">
        <v>450</v>
      </c>
      <c r="D5" s="16" t="s">
        <v>132</v>
      </c>
    </row>
    <row r="6" customFormat="false" ht="15" hidden="false" customHeight="false" outlineLevel="0" collapsed="false">
      <c r="A6" s="16" t="n">
        <v>3</v>
      </c>
      <c r="B6" s="16" t="s">
        <v>451</v>
      </c>
      <c r="C6" s="16" t="s">
        <v>452</v>
      </c>
      <c r="D6" s="16" t="s">
        <v>132</v>
      </c>
    </row>
    <row r="7" customFormat="false" ht="15" hidden="false" customHeight="false" outlineLevel="0" collapsed="false">
      <c r="A7" s="16" t="n">
        <v>4</v>
      </c>
      <c r="B7" s="16" t="s">
        <v>453</v>
      </c>
      <c r="C7" s="16" t="s">
        <v>454</v>
      </c>
      <c r="D7" s="16" t="s">
        <v>132</v>
      </c>
    </row>
    <row r="8" customFormat="false" ht="15" hidden="false" customHeight="false" outlineLevel="0" collapsed="false">
      <c r="A8" s="16" t="n">
        <v>5</v>
      </c>
      <c r="B8" s="16" t="s">
        <v>455</v>
      </c>
      <c r="C8" s="16" t="s">
        <v>456</v>
      </c>
      <c r="D8" s="16" t="s">
        <v>132</v>
      </c>
    </row>
    <row r="9" customFormat="false" ht="15" hidden="false" customHeight="false" outlineLevel="0" collapsed="false">
      <c r="A9" s="16" t="n">
        <v>6</v>
      </c>
      <c r="B9" s="16" t="s">
        <v>457</v>
      </c>
      <c r="C9" s="16" t="s">
        <v>458</v>
      </c>
      <c r="D9" s="16" t="s">
        <v>132</v>
      </c>
    </row>
    <row r="10" customFormat="false" ht="15" hidden="false" customHeight="false" outlineLevel="0" collapsed="false">
      <c r="A10" s="16" t="n">
        <v>7</v>
      </c>
      <c r="B10" s="16" t="s">
        <v>459</v>
      </c>
      <c r="C10" s="16" t="s">
        <v>460</v>
      </c>
      <c r="D10" s="16" t="s">
        <v>132</v>
      </c>
    </row>
    <row r="11" customFormat="false" ht="15" hidden="false" customHeight="false" outlineLevel="0" collapsed="false">
      <c r="A11" s="16" t="n">
        <v>8</v>
      </c>
      <c r="B11" s="16" t="s">
        <v>461</v>
      </c>
      <c r="C11" s="16" t="s">
        <v>462</v>
      </c>
      <c r="D11" s="16" t="s">
        <v>263</v>
      </c>
    </row>
    <row r="12" customFormat="false" ht="15" hidden="false" customHeight="false" outlineLevel="0" collapsed="false">
      <c r="A12" s="16" t="n">
        <v>9</v>
      </c>
      <c r="B12" s="16" t="s">
        <v>463</v>
      </c>
      <c r="C12" s="16" t="s">
        <v>464</v>
      </c>
      <c r="D12" s="16" t="s">
        <v>465</v>
      </c>
    </row>
    <row r="13" customFormat="false" ht="15" hidden="false" customHeight="false" outlineLevel="0" collapsed="false">
      <c r="A13" s="16" t="n">
        <v>10</v>
      </c>
      <c r="B13" s="16" t="s">
        <v>466</v>
      </c>
      <c r="C13" s="16" t="s">
        <v>467</v>
      </c>
      <c r="D13" s="16" t="s">
        <v>42</v>
      </c>
    </row>
    <row r="14" customFormat="false" ht="15" hidden="false" customHeight="false" outlineLevel="0" collapsed="false">
      <c r="A14" s="16" t="n">
        <v>11</v>
      </c>
      <c r="B14" s="16" t="s">
        <v>468</v>
      </c>
      <c r="C14" s="16" t="s">
        <v>469</v>
      </c>
      <c r="D14" s="16" t="s">
        <v>32</v>
      </c>
    </row>
    <row r="15" customFormat="false" ht="15" hidden="false" customHeight="false" outlineLevel="0" collapsed="false">
      <c r="A15" s="16" t="n">
        <v>12</v>
      </c>
      <c r="B15" s="16" t="s">
        <v>470</v>
      </c>
      <c r="C15" s="16" t="s">
        <v>471</v>
      </c>
      <c r="D15" s="16" t="s">
        <v>42</v>
      </c>
    </row>
    <row r="16" customFormat="false" ht="15" hidden="false" customHeight="false" outlineLevel="0" collapsed="false">
      <c r="A16" s="16" t="n">
        <v>13</v>
      </c>
      <c r="B16" s="16" t="s">
        <v>472</v>
      </c>
      <c r="C16" s="16" t="s">
        <v>473</v>
      </c>
      <c r="D16" s="16" t="s">
        <v>42</v>
      </c>
    </row>
    <row r="17" customFormat="false" ht="15" hidden="false" customHeight="false" outlineLevel="0" collapsed="false">
      <c r="A17" s="16" t="n">
        <v>14</v>
      </c>
      <c r="B17" s="16" t="s">
        <v>474</v>
      </c>
      <c r="C17" s="16" t="s">
        <v>475</v>
      </c>
      <c r="D17" s="16" t="s">
        <v>20</v>
      </c>
    </row>
    <row r="18" customFormat="false" ht="15" hidden="false" customHeight="false" outlineLevel="0" collapsed="false">
      <c r="A18" s="16" t="n">
        <v>15</v>
      </c>
      <c r="B18" s="16" t="s">
        <v>476</v>
      </c>
      <c r="C18" s="16" t="s">
        <v>477</v>
      </c>
      <c r="D18" s="16" t="s">
        <v>20</v>
      </c>
    </row>
    <row r="19" customFormat="false" ht="15" hidden="false" customHeight="false" outlineLevel="0" collapsed="false">
      <c r="A19" s="16" t="n">
        <v>16</v>
      </c>
      <c r="B19" s="16" t="s">
        <v>478</v>
      </c>
      <c r="C19" s="16" t="s">
        <v>479</v>
      </c>
      <c r="D19" s="16" t="s">
        <v>42</v>
      </c>
    </row>
    <row r="20" customFormat="false" ht="15" hidden="false" customHeight="false" outlineLevel="0" collapsed="false">
      <c r="A20" s="16" t="n">
        <v>17</v>
      </c>
      <c r="B20" s="16" t="s">
        <v>480</v>
      </c>
      <c r="C20" s="16" t="s">
        <v>481</v>
      </c>
      <c r="D20" s="16" t="s">
        <v>132</v>
      </c>
    </row>
    <row r="21" customFormat="false" ht="15" hidden="false" customHeight="false" outlineLevel="0" collapsed="false">
      <c r="A21" s="16" t="n">
        <v>18</v>
      </c>
      <c r="B21" s="16" t="s">
        <v>482</v>
      </c>
      <c r="C21" s="16" t="s">
        <v>483</v>
      </c>
      <c r="D21" s="16" t="s">
        <v>42</v>
      </c>
    </row>
    <row r="22" customFormat="false" ht="15" hidden="false" customHeight="false" outlineLevel="0" collapsed="false">
      <c r="A22" s="16" t="n">
        <v>19</v>
      </c>
      <c r="B22" s="16" t="s">
        <v>484</v>
      </c>
      <c r="C22" s="16" t="s">
        <v>485</v>
      </c>
      <c r="D22" s="16" t="s">
        <v>42</v>
      </c>
    </row>
    <row r="23" customFormat="false" ht="15" hidden="false" customHeight="false" outlineLevel="0" collapsed="false">
      <c r="A23" s="16" t="n">
        <v>20</v>
      </c>
      <c r="B23" s="16" t="s">
        <v>486</v>
      </c>
      <c r="C23" s="16" t="s">
        <v>487</v>
      </c>
      <c r="D23" s="16" t="s">
        <v>20</v>
      </c>
    </row>
    <row r="24" customFormat="false" ht="15" hidden="false" customHeight="false" outlineLevel="0" collapsed="false">
      <c r="A24" s="16" t="n">
        <v>21</v>
      </c>
      <c r="B24" s="16" t="s">
        <v>488</v>
      </c>
      <c r="C24" s="16" t="s">
        <v>489</v>
      </c>
      <c r="D24" s="16" t="s">
        <v>490</v>
      </c>
    </row>
    <row r="25" customFormat="false" ht="15" hidden="false" customHeight="false" outlineLevel="0" collapsed="false">
      <c r="A25" s="16" t="n">
        <v>22</v>
      </c>
      <c r="B25" s="16" t="s">
        <v>491</v>
      </c>
      <c r="C25" s="16" t="s">
        <v>492</v>
      </c>
      <c r="D25" s="16" t="s">
        <v>114</v>
      </c>
    </row>
    <row r="26" customFormat="false" ht="15" hidden="false" customHeight="false" outlineLevel="0" collapsed="false">
      <c r="A26" s="16" t="n">
        <v>23</v>
      </c>
      <c r="B26" s="16" t="s">
        <v>493</v>
      </c>
      <c r="C26" s="16" t="s">
        <v>494</v>
      </c>
      <c r="D26" s="16" t="s">
        <v>114</v>
      </c>
    </row>
    <row r="27" customFormat="false" ht="15" hidden="false" customHeight="false" outlineLevel="0" collapsed="false">
      <c r="A27" s="16" t="n">
        <v>24</v>
      </c>
      <c r="B27" s="16" t="s">
        <v>495</v>
      </c>
      <c r="C27" s="16" t="s">
        <v>496</v>
      </c>
      <c r="D27" s="16" t="s">
        <v>497</v>
      </c>
    </row>
    <row r="28" customFormat="false" ht="15" hidden="false" customHeight="false" outlineLevel="0" collapsed="false">
      <c r="A28" s="16" t="n">
        <v>25</v>
      </c>
      <c r="B28" s="16" t="s">
        <v>498</v>
      </c>
      <c r="C28" s="16" t="s">
        <v>499</v>
      </c>
      <c r="D28" s="16" t="s">
        <v>114</v>
      </c>
    </row>
    <row r="29" customFormat="false" ht="15" hidden="false" customHeight="false" outlineLevel="0" collapsed="false">
      <c r="A29" s="16" t="n">
        <v>26</v>
      </c>
      <c r="B29" s="16" t="s">
        <v>500</v>
      </c>
      <c r="C29" s="16" t="s">
        <v>501</v>
      </c>
      <c r="D29" s="16" t="s">
        <v>114</v>
      </c>
    </row>
    <row r="30" customFormat="false" ht="15" hidden="false" customHeight="false" outlineLevel="0" collapsed="false">
      <c r="A30" s="16" t="n">
        <v>27</v>
      </c>
      <c r="B30" s="16" t="s">
        <v>502</v>
      </c>
      <c r="C30" s="16" t="s">
        <v>503</v>
      </c>
      <c r="D30" s="16" t="s">
        <v>114</v>
      </c>
    </row>
    <row r="31" customFormat="false" ht="15" hidden="false" customHeight="false" outlineLevel="0" collapsed="false">
      <c r="A31" s="16" t="n">
        <v>28</v>
      </c>
      <c r="B31" s="16" t="s">
        <v>504</v>
      </c>
      <c r="C31" s="16" t="s">
        <v>505</v>
      </c>
      <c r="D31" s="16" t="s">
        <v>114</v>
      </c>
    </row>
    <row r="32" customFormat="false" ht="15" hidden="false" customHeight="false" outlineLevel="0" collapsed="false">
      <c r="A32" s="16" t="n">
        <v>29</v>
      </c>
      <c r="B32" s="16" t="s">
        <v>506</v>
      </c>
      <c r="C32" s="16" t="s">
        <v>507</v>
      </c>
      <c r="D32" s="16" t="s">
        <v>114</v>
      </c>
    </row>
    <row r="33" customFormat="false" ht="15" hidden="false" customHeight="false" outlineLevel="0" collapsed="false">
      <c r="A33" s="16" t="n">
        <v>30</v>
      </c>
      <c r="B33" s="16" t="s">
        <v>508</v>
      </c>
      <c r="C33" s="16" t="s">
        <v>509</v>
      </c>
      <c r="D33" s="16" t="s">
        <v>114</v>
      </c>
    </row>
    <row r="34" customFormat="false" ht="15" hidden="false" customHeight="false" outlineLevel="0" collapsed="false">
      <c r="A34" s="16" t="n">
        <v>31</v>
      </c>
      <c r="B34" s="16" t="s">
        <v>510</v>
      </c>
      <c r="C34" s="16" t="s">
        <v>511</v>
      </c>
      <c r="D34" s="16" t="s">
        <v>114</v>
      </c>
    </row>
    <row r="35" customFormat="false" ht="15" hidden="false" customHeight="false" outlineLevel="0" collapsed="false">
      <c r="A35" s="16" t="n">
        <v>32</v>
      </c>
      <c r="B35" s="16" t="s">
        <v>512</v>
      </c>
      <c r="C35" s="16" t="s">
        <v>513</v>
      </c>
      <c r="D35" s="16" t="s">
        <v>123</v>
      </c>
    </row>
    <row r="36" customFormat="false" ht="15" hidden="false" customHeight="false" outlineLevel="0" collapsed="false">
      <c r="A36" s="16" t="n">
        <v>33</v>
      </c>
      <c r="B36" s="16" t="s">
        <v>514</v>
      </c>
      <c r="C36" s="16" t="s">
        <v>515</v>
      </c>
      <c r="D36" s="16" t="s">
        <v>123</v>
      </c>
    </row>
    <row r="37" customFormat="false" ht="15" hidden="false" customHeight="false" outlineLevel="0" collapsed="false">
      <c r="A37" s="16" t="n">
        <v>34</v>
      </c>
      <c r="B37" s="16" t="s">
        <v>516</v>
      </c>
      <c r="C37" s="16" t="s">
        <v>517</v>
      </c>
      <c r="D37" s="16" t="s">
        <v>123</v>
      </c>
    </row>
    <row r="38" customFormat="false" ht="15" hidden="false" customHeight="false" outlineLevel="0" collapsed="false">
      <c r="A38" s="16" t="n">
        <v>35</v>
      </c>
      <c r="B38" s="16" t="s">
        <v>518</v>
      </c>
      <c r="C38" s="16" t="s">
        <v>519</v>
      </c>
      <c r="D38" s="16" t="s">
        <v>520</v>
      </c>
    </row>
    <row r="39" customFormat="false" ht="15" hidden="false" customHeight="false" outlineLevel="0" collapsed="false">
      <c r="A39" s="16" t="n">
        <v>36</v>
      </c>
      <c r="B39" s="16" t="s">
        <v>521</v>
      </c>
      <c r="C39" s="16" t="s">
        <v>522</v>
      </c>
      <c r="D39" s="16" t="s">
        <v>520</v>
      </c>
    </row>
    <row r="40" customFormat="false" ht="15" hidden="false" customHeight="false" outlineLevel="0" collapsed="false">
      <c r="A40" s="16" t="n">
        <v>37</v>
      </c>
      <c r="B40" s="16" t="s">
        <v>523</v>
      </c>
      <c r="C40" s="16" t="s">
        <v>524</v>
      </c>
      <c r="D40" s="16" t="s">
        <v>520</v>
      </c>
    </row>
    <row r="41" customFormat="false" ht="15" hidden="false" customHeight="false" outlineLevel="0" collapsed="false">
      <c r="A41" s="16" t="n">
        <v>38</v>
      </c>
      <c r="B41" s="16" t="s">
        <v>525</v>
      </c>
      <c r="C41" s="16" t="s">
        <v>526</v>
      </c>
      <c r="D41" s="16" t="s">
        <v>520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34"/>
    <col collapsed="false" customWidth="true" hidden="false" outlineLevel="0" max="4" min="4" style="0" width="40"/>
    <col collapsed="false" customWidth="true" hidden="false" outlineLevel="0" max="5" min="5" style="0" width="26"/>
  </cols>
  <sheetData>
    <row r="1" customFormat="false" ht="15" hidden="false" customHeight="false" outlineLevel="0" collapsed="false">
      <c r="A1" s="15" t="s">
        <v>527</v>
      </c>
    </row>
    <row r="2" customFormat="false" ht="15" hidden="false" customHeight="false" outlineLevel="0" collapsed="false">
      <c r="A2" s="9" t="s">
        <v>528</v>
      </c>
    </row>
    <row r="4" customFormat="false" ht="30" hidden="false" customHeight="true" outlineLevel="0" collapsed="false">
      <c r="A4" s="1" t="s">
        <v>0</v>
      </c>
      <c r="B4" s="1" t="s">
        <v>2</v>
      </c>
      <c r="C4" s="1" t="s">
        <v>3</v>
      </c>
      <c r="D4" s="1" t="s">
        <v>529</v>
      </c>
      <c r="E4" s="1" t="s">
        <v>530</v>
      </c>
    </row>
    <row r="5" customFormat="false" ht="15" hidden="false" customHeight="false" outlineLevel="0" collapsed="false">
      <c r="A5" s="16" t="n">
        <v>1</v>
      </c>
      <c r="B5" s="16" t="s">
        <v>531</v>
      </c>
      <c r="C5" s="16" t="s">
        <v>532</v>
      </c>
      <c r="D5" s="16" t="s">
        <v>533</v>
      </c>
      <c r="E5" s="16"/>
    </row>
    <row r="6" customFormat="false" ht="15" hidden="false" customHeight="false" outlineLevel="0" collapsed="false">
      <c r="A6" s="16" t="n">
        <v>2</v>
      </c>
      <c r="B6" s="16" t="s">
        <v>534</v>
      </c>
      <c r="C6" s="16" t="s">
        <v>535</v>
      </c>
      <c r="D6" s="16" t="s">
        <v>536</v>
      </c>
      <c r="E6" s="16"/>
    </row>
    <row r="7" customFormat="false" ht="15" hidden="false" customHeight="false" outlineLevel="0" collapsed="false">
      <c r="A7" s="16" t="n">
        <v>3</v>
      </c>
      <c r="B7" s="16" t="s">
        <v>537</v>
      </c>
      <c r="C7" s="16" t="s">
        <v>538</v>
      </c>
      <c r="D7" s="16" t="s">
        <v>539</v>
      </c>
      <c r="E7" s="16"/>
    </row>
    <row r="8" customFormat="false" ht="15" hidden="false" customHeight="false" outlineLevel="0" collapsed="false">
      <c r="A8" s="16" t="n">
        <v>4</v>
      </c>
      <c r="B8" s="16" t="s">
        <v>540</v>
      </c>
      <c r="C8" s="16" t="s">
        <v>541</v>
      </c>
      <c r="D8" s="16" t="s">
        <v>536</v>
      </c>
      <c r="E8" s="16"/>
    </row>
    <row r="9" customFormat="false" ht="15" hidden="false" customHeight="false" outlineLevel="0" collapsed="false">
      <c r="A9" s="16" t="n">
        <v>5</v>
      </c>
      <c r="B9" s="16" t="s">
        <v>542</v>
      </c>
      <c r="C9" s="16" t="s">
        <v>543</v>
      </c>
      <c r="D9" s="16" t="s">
        <v>544</v>
      </c>
      <c r="E9" s="16"/>
    </row>
    <row r="10" customFormat="false" ht="15" hidden="false" customHeight="false" outlineLevel="0" collapsed="false">
      <c r="A10" s="16" t="n">
        <v>6</v>
      </c>
      <c r="B10" s="16" t="s">
        <v>545</v>
      </c>
      <c r="C10" s="16" t="s">
        <v>546</v>
      </c>
      <c r="D10" s="16" t="s">
        <v>547</v>
      </c>
      <c r="E10" s="16"/>
    </row>
    <row r="11" customFormat="false" ht="15" hidden="false" customHeight="false" outlineLevel="0" collapsed="false">
      <c r="A11" s="16" t="n">
        <v>7</v>
      </c>
      <c r="B11" s="16" t="s">
        <v>548</v>
      </c>
      <c r="C11" s="16" t="s">
        <v>549</v>
      </c>
      <c r="D11" s="16" t="s">
        <v>550</v>
      </c>
      <c r="E11" s="16"/>
    </row>
    <row r="12" customFormat="false" ht="15" hidden="false" customHeight="false" outlineLevel="0" collapsed="false">
      <c r="A12" s="16" t="n">
        <v>8</v>
      </c>
      <c r="B12" s="16" t="s">
        <v>551</v>
      </c>
      <c r="C12" s="16" t="s">
        <v>552</v>
      </c>
      <c r="D12" s="16" t="s">
        <v>553</v>
      </c>
      <c r="E12" s="16"/>
    </row>
    <row r="13" customFormat="false" ht="15" hidden="false" customHeight="false" outlineLevel="0" collapsed="false">
      <c r="A13" s="16" t="n">
        <v>9</v>
      </c>
      <c r="B13" s="16" t="s">
        <v>554</v>
      </c>
      <c r="C13" s="16" t="s">
        <v>555</v>
      </c>
      <c r="D13" s="16" t="s">
        <v>556</v>
      </c>
      <c r="E13" s="16"/>
    </row>
    <row r="14" customFormat="false" ht="15" hidden="false" customHeight="false" outlineLevel="0" collapsed="false">
      <c r="A14" s="16" t="n">
        <v>10</v>
      </c>
      <c r="B14" s="16" t="s">
        <v>557</v>
      </c>
      <c r="C14" s="16" t="s">
        <v>558</v>
      </c>
      <c r="D14" s="16" t="s">
        <v>559</v>
      </c>
      <c r="E14" s="16"/>
    </row>
    <row r="15" customFormat="false" ht="15" hidden="false" customHeight="false" outlineLevel="0" collapsed="false">
      <c r="A15" s="16" t="n">
        <v>11</v>
      </c>
      <c r="B15" s="16" t="s">
        <v>560</v>
      </c>
      <c r="C15" s="16" t="s">
        <v>561</v>
      </c>
      <c r="D15" s="16" t="s">
        <v>562</v>
      </c>
      <c r="E15" s="16"/>
    </row>
    <row r="16" customFormat="false" ht="15" hidden="false" customHeight="false" outlineLevel="0" collapsed="false">
      <c r="A16" s="16" t="n">
        <v>12</v>
      </c>
      <c r="B16" s="16" t="s">
        <v>563</v>
      </c>
      <c r="C16" s="16" t="s">
        <v>564</v>
      </c>
      <c r="D16" s="16" t="s">
        <v>565</v>
      </c>
      <c r="E16" s="16"/>
    </row>
    <row r="17" customFormat="false" ht="15" hidden="false" customHeight="false" outlineLevel="0" collapsed="false">
      <c r="A17" s="16" t="n">
        <v>13</v>
      </c>
      <c r="B17" s="16" t="s">
        <v>566</v>
      </c>
      <c r="C17" s="16" t="s">
        <v>567</v>
      </c>
      <c r="D17" s="16" t="s">
        <v>568</v>
      </c>
      <c r="E17" s="16"/>
    </row>
    <row r="18" customFormat="false" ht="15" hidden="false" customHeight="false" outlineLevel="0" collapsed="false">
      <c r="A18" s="16" t="n">
        <v>14</v>
      </c>
      <c r="B18" s="16" t="s">
        <v>569</v>
      </c>
      <c r="C18" s="16" t="s">
        <v>570</v>
      </c>
      <c r="D18" s="16" t="s">
        <v>571</v>
      </c>
      <c r="E18" s="16"/>
    </row>
    <row r="19" customFormat="false" ht="15" hidden="false" customHeight="false" outlineLevel="0" collapsed="false">
      <c r="A19" s="16" t="n">
        <v>15</v>
      </c>
      <c r="B19" s="16" t="s">
        <v>572</v>
      </c>
      <c r="C19" s="16" t="s">
        <v>573</v>
      </c>
      <c r="D19" s="16" t="s">
        <v>574</v>
      </c>
      <c r="E19" s="16"/>
    </row>
    <row r="20" customFormat="false" ht="15" hidden="false" customHeight="false" outlineLevel="0" collapsed="false">
      <c r="A20" s="16" t="n">
        <v>16</v>
      </c>
      <c r="B20" s="16" t="s">
        <v>575</v>
      </c>
      <c r="C20" s="16" t="s">
        <v>576</v>
      </c>
      <c r="D20" s="16" t="s">
        <v>577</v>
      </c>
      <c r="E20" s="16"/>
    </row>
    <row r="21" customFormat="false" ht="15" hidden="false" customHeight="false" outlineLevel="0" collapsed="false">
      <c r="A21" s="16" t="n">
        <v>17</v>
      </c>
      <c r="B21" s="16" t="s">
        <v>578</v>
      </c>
      <c r="C21" s="16" t="s">
        <v>579</v>
      </c>
      <c r="D21" s="16" t="s">
        <v>580</v>
      </c>
      <c r="E21" s="16"/>
    </row>
    <row r="22" customFormat="false" ht="15" hidden="false" customHeight="false" outlineLevel="0" collapsed="false">
      <c r="A22" s="16" t="n">
        <v>18</v>
      </c>
      <c r="B22" s="16" t="s">
        <v>581</v>
      </c>
      <c r="C22" s="16" t="s">
        <v>582</v>
      </c>
      <c r="D22" s="16" t="s">
        <v>583</v>
      </c>
      <c r="E22" s="16"/>
    </row>
    <row r="23" customFormat="false" ht="15" hidden="false" customHeight="false" outlineLevel="0" collapsed="false">
      <c r="A23" s="16" t="n">
        <v>19</v>
      </c>
      <c r="B23" s="16" t="s">
        <v>584</v>
      </c>
      <c r="C23" s="16" t="s">
        <v>585</v>
      </c>
      <c r="D23" s="16" t="s">
        <v>580</v>
      </c>
      <c r="E2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8"/>
  </cols>
  <sheetData>
    <row r="1" customFormat="false" ht="17.35" hidden="false" customHeight="false" outlineLevel="0" collapsed="false">
      <c r="A1" s="17" t="s">
        <v>586</v>
      </c>
    </row>
    <row r="4" customFormat="false" ht="15" hidden="false" customHeight="false" outlineLevel="0" collapsed="false">
      <c r="A4" s="18" t="s">
        <v>587</v>
      </c>
      <c r="B4" s="11"/>
    </row>
    <row r="5" customFormat="false" ht="51.75" hidden="false" customHeight="true" outlineLevel="0" collapsed="false">
      <c r="A5" s="19" t="s">
        <v>588</v>
      </c>
      <c r="B5" s="20" t="s">
        <v>589</v>
      </c>
    </row>
    <row r="6" customFormat="false" ht="39" hidden="false" customHeight="true" outlineLevel="0" collapsed="false">
      <c r="A6" s="19" t="s">
        <v>590</v>
      </c>
      <c r="B6" s="20" t="s">
        <v>591</v>
      </c>
    </row>
    <row r="7" customFormat="false" ht="27.75" hidden="false" customHeight="true" outlineLevel="0" collapsed="false">
      <c r="A7" s="19" t="s">
        <v>592</v>
      </c>
      <c r="B7" s="20" t="s">
        <v>593</v>
      </c>
    </row>
    <row r="9" customFormat="false" ht="15" hidden="false" customHeight="false" outlineLevel="0" collapsed="false">
      <c r="A9" s="18" t="s">
        <v>594</v>
      </c>
      <c r="B9" s="11"/>
    </row>
    <row r="10" customFormat="false" ht="27.75" hidden="false" customHeight="true" outlineLevel="0" collapsed="false">
      <c r="A10" s="19" t="s">
        <v>595</v>
      </c>
      <c r="B10" s="20" t="s">
        <v>596</v>
      </c>
    </row>
    <row r="11" customFormat="false" ht="27.75" hidden="false" customHeight="true" outlineLevel="0" collapsed="false">
      <c r="A11" s="19" t="s">
        <v>597</v>
      </c>
      <c r="B11" s="20" t="s">
        <v>598</v>
      </c>
    </row>
    <row r="12" customFormat="false" ht="27.75" hidden="false" customHeight="true" outlineLevel="0" collapsed="false">
      <c r="A12" s="19" t="s">
        <v>599</v>
      </c>
      <c r="B12" s="20" t="s">
        <v>600</v>
      </c>
    </row>
    <row r="14" customFormat="false" ht="15" hidden="false" customHeight="false" outlineLevel="0" collapsed="false">
      <c r="A14" s="18" t="s">
        <v>601</v>
      </c>
      <c r="B14" s="11"/>
    </row>
    <row r="15" customFormat="false" ht="27.75" hidden="false" customHeight="true" outlineLevel="0" collapsed="false">
      <c r="A15" s="19" t="s">
        <v>40</v>
      </c>
      <c r="B15" s="20" t="s">
        <v>602</v>
      </c>
    </row>
    <row r="16" customFormat="false" ht="27.75" hidden="false" customHeight="true" outlineLevel="0" collapsed="false">
      <c r="A16" s="19" t="s">
        <v>65</v>
      </c>
      <c r="B16" s="20" t="s">
        <v>603</v>
      </c>
    </row>
    <row r="18" customFormat="false" ht="15" hidden="false" customHeight="false" outlineLevel="0" collapsed="false">
      <c r="A18" s="18" t="s">
        <v>604</v>
      </c>
      <c r="B18" s="11"/>
    </row>
    <row r="19" customFormat="false" ht="27.75" hidden="false" customHeight="true" outlineLevel="0" collapsed="false">
      <c r="A19" s="19" t="s">
        <v>42</v>
      </c>
      <c r="B19" s="20" t="s">
        <v>605</v>
      </c>
    </row>
    <row r="20" customFormat="false" ht="27.75" hidden="false" customHeight="true" outlineLevel="0" collapsed="false">
      <c r="A20" s="19" t="s">
        <v>520</v>
      </c>
      <c r="B20" s="20" t="s">
        <v>606</v>
      </c>
    </row>
    <row r="22" customFormat="false" ht="15" hidden="false" customHeight="false" outlineLevel="0" collapsed="false">
      <c r="A22" s="18" t="s">
        <v>607</v>
      </c>
      <c r="B22" s="11"/>
    </row>
    <row r="23" customFormat="false" ht="27.75" hidden="false" customHeight="true" outlineLevel="0" collapsed="false">
      <c r="A23" s="19" t="s">
        <v>608</v>
      </c>
      <c r="B23" s="20" t="s">
        <v>609</v>
      </c>
    </row>
    <row r="24" customFormat="false" ht="27.75" hidden="false" customHeight="true" outlineLevel="0" collapsed="false">
      <c r="A24" s="19" t="s">
        <v>610</v>
      </c>
      <c r="B24" s="20" t="s">
        <v>611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2026-08-28T11:46:42Z</dcterms:created>
  <dc:creator>openpyxl</dc:creator>
  <dc:description/>
  <dc:language>en-US</dc:language>
  <cp:lastModifiedBy/>
  <dcterms:modified xsi:type="dcterms:W3CDTF">2026-08-28T11:46:42Z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